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6RegressionExt\"/>
    </mc:Choice>
  </mc:AlternateContent>
  <xr:revisionPtr revIDLastSave="0" documentId="13_ncr:1_{D1F3AD9C-DAD4-4555-BF91-B43F953197E2}" xr6:coauthVersionLast="47" xr6:coauthVersionMax="47" xr10:uidLastSave="{00000000-0000-0000-0000-000000000000}"/>
  <bookViews>
    <workbookView xWindow="-96" yWindow="-96" windowWidth="23232" windowHeight="12432" activeTab="1" xr2:uid="{7E173895-C59F-4D46-9A1E-EF5B7720B970}"/>
  </bookViews>
  <sheets>
    <sheet name="Testo" sheetId="2" r:id="rId1"/>
    <sheet name="data" sheetId="1" r:id="rId2"/>
  </sheets>
  <definedNames>
    <definedName name="RR">data!$B$32:$E$32</definedName>
    <definedName name="X">data!$B$2:$E$21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" i="1" l="1" a="1"/>
  <c r="D119" i="1"/>
  <c r="C124" i="1" a="1"/>
  <c r="F127" i="1"/>
  <c r="F126" i="1"/>
  <c r="D127" i="1"/>
  <c r="D128" i="1"/>
  <c r="D118" i="1"/>
  <c r="E118" i="1"/>
  <c r="F118" i="1"/>
  <c r="C119" i="1"/>
  <c r="F120" i="1"/>
  <c r="C121" i="1"/>
  <c r="D121" i="1"/>
  <c r="L123" i="1"/>
  <c r="B35" i="1" a="1"/>
  <c r="C38" i="1"/>
  <c r="M4" i="1" a="1"/>
  <c r="M7" i="1"/>
  <c r="M4" i="1"/>
  <c r="K33" i="1"/>
  <c r="E128" i="1"/>
  <c r="C128" i="1"/>
  <c r="E127" i="1"/>
  <c r="E125" i="1"/>
  <c r="E124" i="1"/>
  <c r="B36" i="1"/>
  <c r="B38" i="1"/>
  <c r="M6" i="1"/>
  <c r="O4" i="1"/>
  <c r="K31" i="1"/>
  <c r="O5" i="1"/>
  <c r="P8" i="1"/>
  <c r="D35" i="1"/>
  <c r="E36" i="1"/>
  <c r="E120" i="1"/>
  <c r="C118" i="1"/>
  <c r="D126" i="1"/>
  <c r="O11" i="1"/>
  <c r="E35" i="1"/>
  <c r="P7" i="1"/>
  <c r="N8" i="1"/>
  <c r="J47" i="1"/>
  <c r="M5" i="1"/>
  <c r="M11" i="1"/>
  <c r="M12" i="1"/>
  <c r="C125" i="1"/>
  <c r="B35" i="1"/>
  <c r="D120" i="1"/>
  <c r="L125" i="1"/>
  <c r="F117" i="1"/>
  <c r="F125" i="1"/>
  <c r="P6" i="1"/>
  <c r="N7" i="1"/>
  <c r="C120" i="1"/>
  <c r="E117" i="1"/>
  <c r="D125" i="1"/>
  <c r="E37" i="1"/>
  <c r="P5" i="1"/>
  <c r="N6" i="1"/>
  <c r="C35" i="1"/>
  <c r="C126" i="1"/>
  <c r="F121" i="1"/>
  <c r="F119" i="1"/>
  <c r="D117" i="1"/>
  <c r="F124" i="1"/>
  <c r="E38" i="1"/>
  <c r="P4" i="1"/>
  <c r="N5" i="1"/>
  <c r="C37" i="1"/>
  <c r="E126" i="1"/>
  <c r="E121" i="1"/>
  <c r="E119" i="1"/>
  <c r="C117" i="1"/>
  <c r="D124" i="1"/>
  <c r="D38" i="1"/>
  <c r="O8" i="1"/>
  <c r="N4" i="1"/>
  <c r="B37" i="1"/>
  <c r="C127" i="1"/>
  <c r="F128" i="1"/>
  <c r="C124" i="1"/>
  <c r="D37" i="1"/>
  <c r="O7" i="1"/>
  <c r="M8" i="1"/>
  <c r="C36" i="1"/>
  <c r="D36" i="1"/>
  <c r="O6" i="1"/>
  <c r="O12" i="1"/>
  <c r="H35" i="1" a="1"/>
  <c r="N11" i="1"/>
  <c r="N12" i="1"/>
  <c r="K32" i="1"/>
  <c r="P11" i="1"/>
  <c r="P12" i="1"/>
  <c r="K30" i="1"/>
  <c r="G11" i="1"/>
  <c r="G21" i="1"/>
  <c r="G19" i="1"/>
  <c r="G12" i="1"/>
  <c r="G2" i="1"/>
  <c r="G3" i="1"/>
  <c r="G13" i="1"/>
  <c r="G4" i="1"/>
  <c r="G14" i="1"/>
  <c r="G5" i="1"/>
  <c r="G15" i="1"/>
  <c r="G10" i="1"/>
  <c r="G6" i="1"/>
  <c r="G16" i="1"/>
  <c r="G20" i="1"/>
  <c r="G7" i="1"/>
  <c r="G17" i="1"/>
  <c r="G8" i="1"/>
  <c r="G18" i="1"/>
  <c r="G9" i="1"/>
  <c r="J35" i="1"/>
  <c r="I37" i="1"/>
  <c r="K38" i="1"/>
  <c r="I36" i="1"/>
  <c r="K37" i="1"/>
  <c r="I35" i="1"/>
  <c r="J37" i="1"/>
  <c r="H35" i="1"/>
  <c r="K36" i="1"/>
  <c r="I38" i="1"/>
  <c r="K35" i="1"/>
  <c r="J36" i="1"/>
  <c r="H38" i="1"/>
  <c r="H37" i="1"/>
  <c r="J38" i="1"/>
  <c r="H36" i="1"/>
  <c r="I5" i="1"/>
  <c r="J5" i="1"/>
  <c r="H5" i="1"/>
  <c r="H8" i="1"/>
  <c r="I8" i="1"/>
  <c r="J8" i="1"/>
  <c r="H14" i="1"/>
  <c r="I14" i="1"/>
  <c r="J14" i="1"/>
  <c r="I7" i="1"/>
  <c r="J7" i="1"/>
  <c r="H7" i="1"/>
  <c r="E41" i="1" a="1"/>
  <c r="E41" i="1"/>
  <c r="J41" i="1"/>
  <c r="G48" i="1"/>
  <c r="G55" i="1"/>
  <c r="K55" i="1"/>
  <c r="H4" i="1"/>
  <c r="I4" i="1"/>
  <c r="J4" i="1"/>
  <c r="H12" i="1"/>
  <c r="I12" i="1"/>
  <c r="J12" i="1"/>
  <c r="H18" i="1"/>
  <c r="I18" i="1"/>
  <c r="J18" i="1"/>
  <c r="I20" i="1"/>
  <c r="J20" i="1"/>
  <c r="H20" i="1"/>
  <c r="H6" i="1"/>
  <c r="I6" i="1"/>
  <c r="J6" i="1"/>
  <c r="I19" i="1"/>
  <c r="J19" i="1"/>
  <c r="H19" i="1"/>
  <c r="H17" i="1"/>
  <c r="I17" i="1"/>
  <c r="J17" i="1"/>
  <c r="I3" i="1"/>
  <c r="H3" i="1"/>
  <c r="H16" i="1"/>
  <c r="I16" i="1"/>
  <c r="J16" i="1"/>
  <c r="H10" i="1"/>
  <c r="I10" i="1"/>
  <c r="J10" i="1"/>
  <c r="I21" i="1"/>
  <c r="J21" i="1"/>
  <c r="H21" i="1"/>
  <c r="I13" i="1"/>
  <c r="J13" i="1"/>
  <c r="H13" i="1"/>
  <c r="H2" i="1"/>
  <c r="G22" i="1"/>
  <c r="H9" i="1"/>
  <c r="I9" i="1"/>
  <c r="J9" i="1"/>
  <c r="H15" i="1"/>
  <c r="I15" i="1"/>
  <c r="J15" i="1"/>
  <c r="I11" i="1"/>
  <c r="J11" i="1"/>
  <c r="H11" i="1"/>
  <c r="H22" i="1"/>
  <c r="J3" i="1"/>
  <c r="J22" i="1"/>
  <c r="F25" i="1"/>
  <c r="G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Fabrizio LAURINI</author>
  </authors>
  <commentList>
    <comment ref="L123" authorId="0" shapeId="0" xr:uid="{97E97D8C-AF0D-41AA-9141-2C110B61A45E}">
      <text>
        <r>
          <rPr>
            <b/>
            <sz val="10"/>
            <color indexed="8"/>
            <rFont val="Tahoma"/>
            <family val="2"/>
          </rPr>
          <t>=D121/D128</t>
        </r>
      </text>
    </comment>
    <comment ref="L125" authorId="0" shapeId="0" xr:uid="{EC5CD8CA-F203-4253-AA2F-931512243241}">
      <text>
        <r>
          <rPr>
            <b/>
            <sz val="10"/>
            <color indexed="8"/>
            <rFont val="Tahoma"/>
            <family val="2"/>
          </rPr>
          <t>=DISTRIB.F.DS(L123,D120,D127)</t>
        </r>
      </text>
    </comment>
  </commentList>
</comments>
</file>

<file path=xl/sharedStrings.xml><?xml version="1.0" encoding="utf-8"?>
<sst xmlns="http://schemas.openxmlformats.org/spreadsheetml/2006/main" count="44" uniqueCount="32">
  <si>
    <t>Consumo di carne di mucca (X1)</t>
  </si>
  <si>
    <t>Prezzo (X2)</t>
  </si>
  <si>
    <t>Reddito (X3)</t>
  </si>
  <si>
    <t>Intercetta</t>
  </si>
  <si>
    <t>beta0</t>
  </si>
  <si>
    <t>beta1</t>
  </si>
  <si>
    <t>beta2</t>
  </si>
  <si>
    <t>beta3</t>
  </si>
  <si>
    <t>X'X</t>
  </si>
  <si>
    <t>r=</t>
  </si>
  <si>
    <t>R=</t>
  </si>
  <si>
    <t>inv(X'X)</t>
  </si>
  <si>
    <t>P value del risultato del test</t>
  </si>
  <si>
    <t>e_t-e_t-1</t>
  </si>
  <si>
    <t>Conclusione: accetto l'ipotesi nulla di assenza di correlazione tra i residui</t>
  </si>
  <si>
    <t>1x4</t>
  </si>
  <si>
    <t>1x1</t>
  </si>
  <si>
    <t>4x4</t>
  </si>
  <si>
    <t xml:space="preserve"> 1x1</t>
  </si>
  <si>
    <t>statistiche t</t>
  </si>
  <si>
    <t>Regressione sulle prime 10 osservazioni</t>
  </si>
  <si>
    <t>Regressione sulle ultime 10 osservazioni</t>
  </si>
  <si>
    <t>\beta cappello</t>
  </si>
  <si>
    <t>Test F=</t>
  </si>
  <si>
    <t>Pvalue=</t>
  </si>
  <si>
    <t>(e_t-e_t-1)^2</t>
  </si>
  <si>
    <t>Residui (e_t)</t>
  </si>
  <si>
    <t>e_t^2</t>
  </si>
  <si>
    <t>Beef (X1)</t>
  </si>
  <si>
    <t>Price (X2)</t>
  </si>
  <si>
    <t>Income (X3)</t>
  </si>
  <si>
    <t>Pork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</si>
</sst>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name val="Arial"/>
    </font>
    <font>
      <sz val="10"/>
      <name val="Verdana"/>
      <family val="2"/>
    </font>
    <font>
      <sz val="8"/>
      <name val="Arial"/>
      <family val="2"/>
    </font>
    <font>
      <b/>
      <sz val="10"/>
      <name val="Verdana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i/>
      <sz val="20"/>
      <name val="Times New Roman"/>
      <family val="1"/>
    </font>
    <font>
      <sz val="14"/>
      <name val="Arial"/>
      <family val="2"/>
    </font>
    <font>
      <sz val="12"/>
      <name val="Arial"/>
      <family val="2"/>
    </font>
    <font>
      <b/>
      <sz val="10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wrapText="1"/>
    </xf>
    <xf numFmtId="164" fontId="0" fillId="0" borderId="0" xfId="0" applyNumberFormat="1"/>
    <xf numFmtId="0" fontId="11" fillId="0" borderId="0" xfId="0" applyFont="1"/>
    <xf numFmtId="0" fontId="10" fillId="0" borderId="0" xfId="0" applyFont="1" applyAlignment="1">
      <alignment horizontal="right"/>
    </xf>
    <xf numFmtId="2" fontId="1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horizontal="right" wrapText="1"/>
    </xf>
    <xf numFmtId="1" fontId="1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314960</xdr:colOff>
      <xdr:row>3</xdr:row>
      <xdr:rowOff>62865</xdr:rowOff>
    </xdr:from>
    <xdr:to>
      <xdr:col>5</xdr:col>
      <xdr:colOff>314960</xdr:colOff>
      <xdr:row>8</xdr:row>
      <xdr:rowOff>72390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B4F079E2-A73D-AD49-E5D5-17C2DCA23A56}"/>
            </a:ext>
          </a:extLst>
        </xdr:cNvPr>
        <xdr:cNvSpPr txBox="1"/>
      </xdr:nvSpPr>
      <xdr:spPr>
        <a:xfrm>
          <a:off x="323850" y="552450"/>
          <a:ext cx="30480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it-IT" sz="1800"/>
            <a:t>PER IL TESTO DELL'ESERCIZIO</a:t>
          </a:r>
          <a:r>
            <a:rPr lang="it-IT" sz="1800" baseline="0"/>
            <a:t> V. PAGINE 148-149 DEL LIBRO</a:t>
          </a:r>
          <a:endParaRPr lang="it-IT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45720</xdr:colOff>
          <xdr:row>38</xdr:row>
          <xdr:rowOff>144780</xdr:rowOff>
        </xdr:from>
        <xdr:to>
          <xdr:col>3</xdr:col>
          <xdr:colOff>365760</xdr:colOff>
          <xdr:row>43</xdr:row>
          <xdr:rowOff>11430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422910</xdr:colOff>
          <xdr:row>38</xdr:row>
          <xdr:rowOff>95250</xdr:rowOff>
        </xdr:from>
        <xdr:to>
          <xdr:col>8</xdr:col>
          <xdr:colOff>822960</xdr:colOff>
          <xdr:row>43</xdr:row>
          <xdr:rowOff>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422910</xdr:colOff>
          <xdr:row>44</xdr:row>
          <xdr:rowOff>95250</xdr:rowOff>
        </xdr:from>
        <xdr:to>
          <xdr:col>5</xdr:col>
          <xdr:colOff>331470</xdr:colOff>
          <xdr:row>50</xdr:row>
          <xdr:rowOff>22860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205740</xdr:colOff>
          <xdr:row>43</xdr:row>
          <xdr:rowOff>83820</xdr:rowOff>
        </xdr:from>
        <xdr:to>
          <xdr:col>9</xdr:col>
          <xdr:colOff>34290</xdr:colOff>
          <xdr:row>48</xdr:row>
          <xdr:rowOff>11430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354330</xdr:colOff>
          <xdr:row>51</xdr:row>
          <xdr:rowOff>60960</xdr:rowOff>
        </xdr:from>
        <xdr:to>
          <xdr:col>5</xdr:col>
          <xdr:colOff>274320</xdr:colOff>
          <xdr:row>57</xdr:row>
          <xdr:rowOff>144780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92</xdr:row>
          <xdr:rowOff>72390</xdr:rowOff>
        </xdr:from>
        <xdr:to>
          <xdr:col>5</xdr:col>
          <xdr:colOff>125730</xdr:colOff>
          <xdr:row>100</xdr:row>
          <xdr:rowOff>121920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480060</xdr:colOff>
          <xdr:row>21</xdr:row>
          <xdr:rowOff>114300</xdr:rowOff>
        </xdr:from>
        <xdr:to>
          <xdr:col>4</xdr:col>
          <xdr:colOff>720090</xdr:colOff>
          <xdr:row>27</xdr:row>
          <xdr:rowOff>152400</xdr:rowOff>
        </xdr:to>
        <xdr:sp macro="" textlink="">
          <xdr:nvSpPr>
            <xdr:cNvPr id="2090" name="Object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emf"/><Relationship Id="rId2" Type="http://schemas.openxmlformats.org/officeDocument/2006/relationships/vmlDrawing" Target="../drawings/vmlDrawing1.vml"/><Relationship Id="rId16" Type="http://schemas.openxmlformats.org/officeDocument/2006/relationships/comments" Target="../comments1.xml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9D4B-3A0F-4027-AC68-97BD0B54ECC6}">
  <dimension ref="A26:D31"/>
  <sheetViews>
    <sheetView workbookViewId="0">
      <selection activeCell="B14" sqref="B14"/>
    </sheetView>
  </sheetViews>
  <sheetFormatPr defaultColWidth="8.83203125" defaultRowHeight="12.3" x14ac:dyDescent="0.4"/>
  <sheetData>
    <row r="26" spans="1:4" x14ac:dyDescent="0.4">
      <c r="A26" s="17"/>
      <c r="B26" s="17"/>
      <c r="C26" s="17"/>
      <c r="D26" s="17"/>
    </row>
    <row r="27" spans="1:4" x14ac:dyDescent="0.4">
      <c r="A27" s="17"/>
      <c r="B27" s="17"/>
      <c r="C27" s="17"/>
      <c r="D27" s="17"/>
    </row>
    <row r="28" spans="1:4" x14ac:dyDescent="0.4">
      <c r="A28" s="17"/>
      <c r="B28" s="17"/>
      <c r="C28" s="17"/>
      <c r="D28" s="17"/>
    </row>
    <row r="29" spans="1:4" x14ac:dyDescent="0.4">
      <c r="A29" s="17"/>
      <c r="B29" s="17"/>
      <c r="C29" s="17"/>
      <c r="D29" s="17"/>
    </row>
    <row r="30" spans="1:4" x14ac:dyDescent="0.4">
      <c r="A30" s="17"/>
      <c r="B30" s="17"/>
      <c r="C30" s="17"/>
      <c r="D30" s="17"/>
    </row>
    <row r="31" spans="1:4" x14ac:dyDescent="0.4">
      <c r="A31" s="17"/>
      <c r="B31" s="17"/>
      <c r="C31" s="17"/>
      <c r="D31" s="17"/>
    </row>
  </sheetData>
  <phoneticPr fontId="2" type="noConversion"/>
  <pageMargins left="0.75" right="0.75" top="1" bottom="1" header="0.5" footer="0.5"/>
  <pageSetup paperSize="9" orientation="landscape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38BB-C037-46F3-9044-574BFB893D55}">
  <dimension ref="A1:P137"/>
  <sheetViews>
    <sheetView tabSelected="1" zoomScale="169" zoomScaleNormal="169" workbookViewId="0">
      <selection activeCell="F2" sqref="F2"/>
    </sheetView>
  </sheetViews>
  <sheetFormatPr defaultColWidth="8.83203125" defaultRowHeight="12.3" x14ac:dyDescent="0.4"/>
  <cols>
    <col min="1" max="1" width="8.83203125" customWidth="1"/>
    <col min="2" max="2" width="9.5" customWidth="1"/>
    <col min="3" max="3" width="17.1640625" customWidth="1"/>
    <col min="4" max="4" width="13.6640625" bestFit="1" customWidth="1"/>
    <col min="5" max="5" width="13.33203125" bestFit="1" customWidth="1"/>
    <col min="6" max="6" width="12.5" customWidth="1"/>
    <col min="7" max="10" width="9.83203125" customWidth="1"/>
    <col min="11" max="11" width="8.33203125" customWidth="1"/>
    <col min="12" max="12" width="8.83203125" customWidth="1"/>
    <col min="13" max="13" width="10" bestFit="1" customWidth="1"/>
  </cols>
  <sheetData>
    <row r="1" spans="2:16" ht="36.75" customHeight="1" x14ac:dyDescent="0.5"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5" t="s">
        <v>26</v>
      </c>
      <c r="H1" s="5" t="s">
        <v>27</v>
      </c>
      <c r="I1" s="7" t="s">
        <v>13</v>
      </c>
      <c r="J1" s="7" t="s">
        <v>25</v>
      </c>
    </row>
    <row r="2" spans="2:16" x14ac:dyDescent="0.4">
      <c r="B2" s="2">
        <v>1</v>
      </c>
      <c r="C2" s="15">
        <v>59.1</v>
      </c>
      <c r="D2" s="15">
        <v>23.1</v>
      </c>
      <c r="E2" s="16">
        <v>452</v>
      </c>
      <c r="F2" s="15">
        <v>65.7</v>
      </c>
      <c r="G2" s="14">
        <f t="shared" ref="G2:G21" si="0">F2-MMULT(B2:E2,K$30:K$33)</f>
        <v>0.53997723612178561</v>
      </c>
      <c r="H2" s="14">
        <f>G2^2</f>
        <v>0.2915754155297226</v>
      </c>
      <c r="I2" s="14"/>
      <c r="M2" s="3"/>
    </row>
    <row r="3" spans="2:16" ht="12.75" customHeight="1" x14ac:dyDescent="0.4">
      <c r="B3" s="2">
        <v>1</v>
      </c>
      <c r="C3" s="15">
        <v>59.6</v>
      </c>
      <c r="D3" s="15">
        <v>23.6</v>
      </c>
      <c r="E3" s="16">
        <v>505</v>
      </c>
      <c r="F3" s="15">
        <v>74.2</v>
      </c>
      <c r="G3" s="14">
        <f t="shared" si="0"/>
        <v>2.9780608137030526</v>
      </c>
      <c r="H3" s="14">
        <f t="shared" ref="H3:H21" si="1">G3^2</f>
        <v>8.8688462101136878</v>
      </c>
      <c r="I3" s="14">
        <f t="shared" ref="I3:I21" si="2">G3-G2</f>
        <v>2.438083577581267</v>
      </c>
      <c r="J3" s="14">
        <f>I3^2</f>
        <v>5.9442515312714699</v>
      </c>
      <c r="M3" s="1" t="s">
        <v>2</v>
      </c>
      <c r="N3" s="1" t="s">
        <v>1</v>
      </c>
      <c r="O3" s="1" t="s">
        <v>0</v>
      </c>
      <c r="P3" t="s">
        <v>3</v>
      </c>
    </row>
    <row r="4" spans="2:16" x14ac:dyDescent="0.4">
      <c r="B4" s="2">
        <v>1</v>
      </c>
      <c r="C4" s="15">
        <v>59.5</v>
      </c>
      <c r="D4" s="15">
        <v>24.1</v>
      </c>
      <c r="E4" s="16">
        <v>499</v>
      </c>
      <c r="F4" s="15">
        <v>74</v>
      </c>
      <c r="G4" s="14">
        <f t="shared" si="0"/>
        <v>5.4991470750124876</v>
      </c>
      <c r="H4" s="14">
        <f t="shared" si="1"/>
        <v>30.240618552618397</v>
      </c>
      <c r="I4" s="14">
        <f t="shared" si="2"/>
        <v>2.5210862613094349</v>
      </c>
      <c r="J4" s="14">
        <f t="shared" ref="J4:J21" si="3">I4^2</f>
        <v>6.3558759369631845</v>
      </c>
      <c r="M4">
        <f t="array" ref="M4:P8">LINEST(F2:F21,C2:E21,1,1)</f>
        <v>0.16815196908677416</v>
      </c>
      <c r="N4">
        <v>-3.8036700577080658</v>
      </c>
      <c r="O4">
        <v>-1.8966058206525229</v>
      </c>
      <c r="P4">
        <v>189.10951507027673</v>
      </c>
    </row>
    <row r="5" spans="2:16" x14ac:dyDescent="0.4">
      <c r="B5" s="2">
        <v>1</v>
      </c>
      <c r="C5" s="15">
        <v>59.5</v>
      </c>
      <c r="D5" s="15">
        <v>24.5</v>
      </c>
      <c r="E5" s="16">
        <v>507</v>
      </c>
      <c r="F5" s="15">
        <v>66.8</v>
      </c>
      <c r="G5" s="14">
        <f t="shared" si="0"/>
        <v>-1.5246006545985011</v>
      </c>
      <c r="H5" s="14">
        <f t="shared" si="1"/>
        <v>2.3244071560021782</v>
      </c>
      <c r="I5" s="14">
        <f t="shared" si="2"/>
        <v>-7.0237477296109887</v>
      </c>
      <c r="J5" s="14">
        <f t="shared" si="3"/>
        <v>49.333032169215521</v>
      </c>
      <c r="M5">
        <v>2.0606923424717906E-2</v>
      </c>
      <c r="N5">
        <v>0.41274817092674537</v>
      </c>
      <c r="O5">
        <v>0.24648639866063657</v>
      </c>
      <c r="P5">
        <v>15.707679251376851</v>
      </c>
    </row>
    <row r="6" spans="2:16" x14ac:dyDescent="0.4">
      <c r="B6" s="2">
        <v>1</v>
      </c>
      <c r="C6" s="15">
        <v>60.3</v>
      </c>
      <c r="D6" s="15">
        <v>24.8</v>
      </c>
      <c r="E6" s="16">
        <v>515</v>
      </c>
      <c r="F6" s="15">
        <v>64.099999999999994</v>
      </c>
      <c r="G6" s="14">
        <f t="shared" si="0"/>
        <v>-2.9114307334582605</v>
      </c>
      <c r="H6" s="14">
        <f t="shared" si="1"/>
        <v>8.4764289157253057</v>
      </c>
      <c r="I6" s="14">
        <f t="shared" si="2"/>
        <v>-1.3868300788597594</v>
      </c>
      <c r="J6" s="14">
        <f t="shared" si="3"/>
        <v>1.9232976676301665</v>
      </c>
      <c r="M6">
        <v>0.844004188425032</v>
      </c>
      <c r="N6">
        <v>2.9324003386397113</v>
      </c>
      <c r="O6" t="e">
        <v>#N/A</v>
      </c>
      <c r="P6" t="e">
        <v>#N/A</v>
      </c>
    </row>
    <row r="7" spans="2:16" x14ac:dyDescent="0.4">
      <c r="B7" s="2">
        <v>1</v>
      </c>
      <c r="C7" s="15">
        <v>54.5</v>
      </c>
      <c r="D7" s="15">
        <v>26.5</v>
      </c>
      <c r="E7" s="16">
        <v>520</v>
      </c>
      <c r="F7" s="15">
        <v>67.7</v>
      </c>
      <c r="G7" s="14">
        <f t="shared" si="0"/>
        <v>-4.6862652405730358</v>
      </c>
      <c r="H7" s="14">
        <f t="shared" si="1"/>
        <v>21.961081905003052</v>
      </c>
      <c r="I7" s="14">
        <f t="shared" si="2"/>
        <v>-1.7748345071147753</v>
      </c>
      <c r="J7" s="14">
        <f t="shared" si="3"/>
        <v>3.1500375276453476</v>
      </c>
      <c r="M7">
        <v>28.855618789719404</v>
      </c>
      <c r="N7">
        <v>16</v>
      </c>
      <c r="O7" t="e">
        <v>#N/A</v>
      </c>
      <c r="P7" t="e">
        <v>#N/A</v>
      </c>
    </row>
    <row r="8" spans="2:16" x14ac:dyDescent="0.4">
      <c r="B8" s="2">
        <v>1</v>
      </c>
      <c r="C8" s="15">
        <v>48.7</v>
      </c>
      <c r="D8" s="15">
        <v>30.5</v>
      </c>
      <c r="E8" s="16">
        <v>533</v>
      </c>
      <c r="F8" s="15">
        <v>70.900000000000006</v>
      </c>
      <c r="G8" s="14">
        <f t="shared" si="0"/>
        <v>0.54212563234652578</v>
      </c>
      <c r="H8" s="14">
        <f t="shared" si="1"/>
        <v>0.29390020124712046</v>
      </c>
      <c r="I8" s="14">
        <f t="shared" si="2"/>
        <v>5.2283908729195616</v>
      </c>
      <c r="J8" s="14">
        <f t="shared" si="3"/>
        <v>27.336071120028574</v>
      </c>
      <c r="M8">
        <v>744.38595206313153</v>
      </c>
      <c r="N8">
        <v>137.58354793686868</v>
      </c>
      <c r="O8" t="e">
        <v>#N/A</v>
      </c>
      <c r="P8" t="e">
        <v>#N/A</v>
      </c>
    </row>
    <row r="9" spans="2:16" x14ac:dyDescent="0.4">
      <c r="B9" s="2">
        <v>1</v>
      </c>
      <c r="C9" s="15">
        <v>49.7</v>
      </c>
      <c r="D9" s="15">
        <v>32</v>
      </c>
      <c r="E9" s="16">
        <v>556</v>
      </c>
      <c r="F9" s="15">
        <v>69.599999999999994</v>
      </c>
      <c r="G9" s="14">
        <f t="shared" si="0"/>
        <v>2.9767412505653255</v>
      </c>
      <c r="H9" s="14">
        <f t="shared" si="1"/>
        <v>8.8609884728172172</v>
      </c>
      <c r="I9" s="14">
        <f t="shared" si="2"/>
        <v>2.4346156182187997</v>
      </c>
      <c r="J9" s="14">
        <f t="shared" si="3"/>
        <v>5.9273532084749085</v>
      </c>
    </row>
    <row r="10" spans="2:16" x14ac:dyDescent="0.4">
      <c r="B10" s="2">
        <v>1</v>
      </c>
      <c r="C10" s="15">
        <v>48.9</v>
      </c>
      <c r="D10" s="15">
        <v>30.3</v>
      </c>
      <c r="E10" s="16">
        <v>506</v>
      </c>
      <c r="F10" s="15">
        <v>67</v>
      </c>
      <c r="G10" s="14">
        <f t="shared" si="0"/>
        <v>0.80081595027830588</v>
      </c>
      <c r="H10" s="14">
        <f t="shared" si="1"/>
        <v>0.64130618622014612</v>
      </c>
      <c r="I10" s="14">
        <f t="shared" si="2"/>
        <v>-2.1759253002870196</v>
      </c>
      <c r="J10" s="14">
        <f t="shared" si="3"/>
        <v>4.7346509124291565</v>
      </c>
      <c r="M10" t="s">
        <v>19</v>
      </c>
    </row>
    <row r="11" spans="2:16" x14ac:dyDescent="0.4">
      <c r="B11" s="2">
        <v>1</v>
      </c>
      <c r="C11" s="15">
        <v>48.6</v>
      </c>
      <c r="D11" s="15">
        <v>27.6</v>
      </c>
      <c r="E11" s="16">
        <v>474</v>
      </c>
      <c r="F11" s="15">
        <v>68.400000000000006</v>
      </c>
      <c r="G11" s="14">
        <f t="shared" si="0"/>
        <v>-3.2572119409524305</v>
      </c>
      <c r="H11" s="14">
        <f t="shared" si="1"/>
        <v>10.609429628283099</v>
      </c>
      <c r="I11" s="14">
        <f t="shared" si="2"/>
        <v>-4.0580278912307364</v>
      </c>
      <c r="J11" s="14">
        <f t="shared" si="3"/>
        <v>16.467590366006576</v>
      </c>
      <c r="M11">
        <f>M4/M5</f>
        <v>8.1599744717387885</v>
      </c>
      <c r="N11">
        <f>N4/N5</f>
        <v>-9.2154740484195674</v>
      </c>
      <c r="O11">
        <f>O4/O5</f>
        <v>-7.6945658298321655</v>
      </c>
      <c r="P11">
        <f>P4/P5</f>
        <v>12.039303326982591</v>
      </c>
    </row>
    <row r="12" spans="2:16" x14ac:dyDescent="0.4">
      <c r="B12" s="2">
        <v>1</v>
      </c>
      <c r="C12" s="15">
        <v>46.7</v>
      </c>
      <c r="D12" s="15">
        <v>25.5</v>
      </c>
      <c r="E12" s="16">
        <v>400</v>
      </c>
      <c r="F12" s="15">
        <v>70.7</v>
      </c>
      <c r="G12" s="14">
        <f t="shared" si="0"/>
        <v>-0.10522440895788066</v>
      </c>
      <c r="H12" s="14">
        <f t="shared" si="1"/>
        <v>1.1072176240535315E-2</v>
      </c>
      <c r="I12" s="14">
        <f t="shared" si="2"/>
        <v>3.1519875319945498</v>
      </c>
      <c r="J12" s="14">
        <f t="shared" si="3"/>
        <v>9.935025401849094</v>
      </c>
      <c r="M12">
        <f>TDIST(ABS(M11),$N7,2)</f>
        <v>4.2851680261148671E-7</v>
      </c>
      <c r="N12">
        <f>TDIST(ABS(N11),$N7,2)</f>
        <v>8.4548568580622999E-8</v>
      </c>
      <c r="O12">
        <f>TDIST(ABS(O11),$N7,2)</f>
        <v>9.1548050366538648E-7</v>
      </c>
      <c r="P12">
        <f>TDIST(ABS(P11),$N7,2)</f>
        <v>1.9622359924999699E-9</v>
      </c>
    </row>
    <row r="13" spans="2:16" x14ac:dyDescent="0.4">
      <c r="B13" s="2">
        <v>1</v>
      </c>
      <c r="C13" s="15">
        <v>51.5</v>
      </c>
      <c r="D13" s="15">
        <v>23.3</v>
      </c>
      <c r="E13" s="16">
        <v>394</v>
      </c>
      <c r="F13" s="15">
        <v>69.599999999999994</v>
      </c>
      <c r="G13" s="14">
        <f t="shared" si="0"/>
        <v>0.53932121773712538</v>
      </c>
      <c r="H13" s="14">
        <f t="shared" si="1"/>
        <v>0.29086737590145578</v>
      </c>
      <c r="I13" s="14">
        <f t="shared" si="2"/>
        <v>0.64454562669500604</v>
      </c>
      <c r="J13" s="14">
        <f t="shared" si="3"/>
        <v>0.41543906489165805</v>
      </c>
    </row>
    <row r="14" spans="2:16" x14ac:dyDescent="0.4">
      <c r="B14" s="2">
        <v>1</v>
      </c>
      <c r="C14" s="15">
        <v>55.9</v>
      </c>
      <c r="D14" s="15">
        <v>24.4</v>
      </c>
      <c r="E14" s="16">
        <v>430</v>
      </c>
      <c r="F14" s="15">
        <v>63.1</v>
      </c>
      <c r="G14" s="14">
        <f t="shared" si="0"/>
        <v>0.5149530049632105</v>
      </c>
      <c r="H14" s="14">
        <f t="shared" si="1"/>
        <v>0.26517659732064031</v>
      </c>
      <c r="I14" s="14">
        <f t="shared" si="2"/>
        <v>-2.4368212773914877E-2</v>
      </c>
      <c r="J14" s="14">
        <f t="shared" si="3"/>
        <v>5.9380979379478819E-4</v>
      </c>
    </row>
    <row r="15" spans="2:16" x14ac:dyDescent="0.4">
      <c r="B15" s="2">
        <v>1</v>
      </c>
      <c r="C15" s="15">
        <v>52.9</v>
      </c>
      <c r="D15" s="15">
        <v>31.1</v>
      </c>
      <c r="E15" s="16">
        <v>468</v>
      </c>
      <c r="F15" s="15">
        <v>48.4</v>
      </c>
      <c r="G15" s="14">
        <f t="shared" si="0"/>
        <v>-0.78004989564771421</v>
      </c>
      <c r="H15" s="14">
        <f t="shared" si="1"/>
        <v>0.60847783970000979</v>
      </c>
      <c r="I15" s="14">
        <f t="shared" si="2"/>
        <v>-1.2950029006109247</v>
      </c>
      <c r="J15" s="14">
        <f t="shared" si="3"/>
        <v>1.6770325125907086</v>
      </c>
    </row>
    <row r="16" spans="2:16" x14ac:dyDescent="0.4">
      <c r="B16" s="2">
        <v>1</v>
      </c>
      <c r="C16" s="15">
        <v>58.1</v>
      </c>
      <c r="D16" s="15">
        <v>28.9</v>
      </c>
      <c r="E16" s="16">
        <v>522</v>
      </c>
      <c r="F16" s="15">
        <v>55.1</v>
      </c>
      <c r="G16" s="14">
        <f t="shared" si="0"/>
        <v>-1.6659800858981484</v>
      </c>
      <c r="H16" s="14">
        <f t="shared" si="1"/>
        <v>2.7754896466092021</v>
      </c>
      <c r="I16" s="14">
        <f t="shared" si="2"/>
        <v>-0.88593019025043418</v>
      </c>
      <c r="J16" s="14">
        <f t="shared" si="3"/>
        <v>0.78487230199717051</v>
      </c>
    </row>
    <row r="17" spans="1:14" x14ac:dyDescent="0.4">
      <c r="B17" s="2">
        <v>1</v>
      </c>
      <c r="C17" s="15">
        <v>55.2</v>
      </c>
      <c r="D17" s="15">
        <v>31.7</v>
      </c>
      <c r="E17" s="16">
        <v>537</v>
      </c>
      <c r="F17" s="15">
        <v>55.8</v>
      </c>
      <c r="G17" s="14">
        <f t="shared" si="0"/>
        <v>1.6618596594905028</v>
      </c>
      <c r="H17" s="14">
        <f t="shared" si="1"/>
        <v>2.7617775278418901</v>
      </c>
      <c r="I17" s="14">
        <f t="shared" si="2"/>
        <v>3.3278397453886512</v>
      </c>
      <c r="J17" s="14">
        <f t="shared" si="3"/>
        <v>11.074517370988403</v>
      </c>
    </row>
    <row r="18" spans="1:14" x14ac:dyDescent="0.4">
      <c r="B18" s="2">
        <v>1</v>
      </c>
      <c r="C18" s="15">
        <v>54.4</v>
      </c>
      <c r="D18" s="15">
        <v>28.5</v>
      </c>
      <c r="E18" s="16">
        <v>502</v>
      </c>
      <c r="F18" s="15">
        <v>58.2</v>
      </c>
      <c r="G18" s="14">
        <f t="shared" si="0"/>
        <v>-3.7418502636602398</v>
      </c>
      <c r="H18" s="14">
        <f t="shared" si="1"/>
        <v>14.001443395654206</v>
      </c>
      <c r="I18" s="14">
        <f t="shared" si="2"/>
        <v>-5.4037099231507426</v>
      </c>
      <c r="J18" s="14">
        <f t="shared" si="3"/>
        <v>29.200080933557803</v>
      </c>
    </row>
    <row r="19" spans="1:14" x14ac:dyDescent="0.4">
      <c r="B19" s="2">
        <v>1</v>
      </c>
      <c r="C19" s="15">
        <v>54.7</v>
      </c>
      <c r="D19" s="15">
        <v>29.7</v>
      </c>
      <c r="E19" s="16">
        <v>542</v>
      </c>
      <c r="F19" s="15">
        <v>64.7</v>
      </c>
      <c r="G19" s="14">
        <f t="shared" si="0"/>
        <v>1.1654567883142448</v>
      </c>
      <c r="H19" s="14">
        <f t="shared" si="1"/>
        <v>1.3582895254277545</v>
      </c>
      <c r="I19" s="14">
        <f t="shared" si="2"/>
        <v>4.9073070519744846</v>
      </c>
      <c r="J19" s="14">
        <f t="shared" si="3"/>
        <v>24.081662502358508</v>
      </c>
    </row>
    <row r="20" spans="1:14" x14ac:dyDescent="0.4">
      <c r="B20" s="2">
        <v>1</v>
      </c>
      <c r="C20" s="15">
        <v>54.9</v>
      </c>
      <c r="D20" s="15">
        <v>29.5</v>
      </c>
      <c r="E20" s="16">
        <v>575</v>
      </c>
      <c r="F20" s="15">
        <v>73.5</v>
      </c>
      <c r="G20" s="14">
        <f t="shared" si="0"/>
        <v>4.035028961039572</v>
      </c>
      <c r="H20" s="14">
        <f t="shared" si="1"/>
        <v>16.281458716428087</v>
      </c>
      <c r="I20" s="14">
        <f t="shared" si="2"/>
        <v>2.8695721727253272</v>
      </c>
      <c r="J20" s="14">
        <f t="shared" si="3"/>
        <v>8.2344444544795543</v>
      </c>
    </row>
    <row r="21" spans="1:14" x14ac:dyDescent="0.4">
      <c r="B21" s="2">
        <v>1</v>
      </c>
      <c r="C21" s="15">
        <v>60.9</v>
      </c>
      <c r="D21" s="15">
        <v>30</v>
      </c>
      <c r="E21" s="16">
        <v>663</v>
      </c>
      <c r="F21" s="15">
        <v>68.400000000000006</v>
      </c>
      <c r="G21" s="14">
        <f t="shared" si="0"/>
        <v>-2.5808743658273698</v>
      </c>
      <c r="H21" s="14">
        <f t="shared" si="1"/>
        <v>6.6609124921848286</v>
      </c>
      <c r="I21" s="14">
        <f t="shared" si="2"/>
        <v>-6.6159033268669418</v>
      </c>
      <c r="J21" s="14">
        <f t="shared" si="3"/>
        <v>43.770176830449067</v>
      </c>
    </row>
    <row r="22" spans="1:14" ht="15.75" customHeight="1" x14ac:dyDescent="0.4">
      <c r="C22" s="14"/>
      <c r="D22" s="14"/>
      <c r="E22" s="14"/>
      <c r="F22" s="14"/>
      <c r="G22" s="14">
        <f>SUM(G2:G21)</f>
        <v>-1.4424017535930034E-12</v>
      </c>
      <c r="H22" s="14">
        <f>SUM(H2:H21)</f>
        <v>137.58354793686854</v>
      </c>
      <c r="I22" s="14"/>
      <c r="J22" s="14">
        <f>SUM(J3:J21)</f>
        <v>250.34600562262071</v>
      </c>
    </row>
    <row r="23" spans="1:14" ht="15.75" customHeight="1" x14ac:dyDescent="0.4"/>
    <row r="24" spans="1:14" ht="15.75" customHeight="1" x14ac:dyDescent="0.4"/>
    <row r="25" spans="1:14" ht="15.75" customHeight="1" x14ac:dyDescent="0.4">
      <c r="F25" s="14">
        <f>J22/H22</f>
        <v>1.819592599381826</v>
      </c>
    </row>
    <row r="26" spans="1:14" ht="15.75" customHeight="1" x14ac:dyDescent="0.4">
      <c r="N26" s="4">
        <v>4</v>
      </c>
    </row>
    <row r="27" spans="1:14" ht="15.75" customHeight="1" x14ac:dyDescent="0.4">
      <c r="N27" s="4">
        <v>3</v>
      </c>
    </row>
    <row r="28" spans="1:14" ht="15.75" customHeight="1" x14ac:dyDescent="0.4">
      <c r="N28" s="4">
        <v>2</v>
      </c>
    </row>
    <row r="29" spans="1:14" ht="15.75" customHeight="1" x14ac:dyDescent="0.4">
      <c r="N29" s="4">
        <v>1</v>
      </c>
    </row>
    <row r="30" spans="1:14" ht="15.75" customHeight="1" x14ac:dyDescent="0.4">
      <c r="K30" s="11">
        <f>INDEX(M$4:P$4,1,N26)</f>
        <v>189.10951507027673</v>
      </c>
      <c r="L30" t="s">
        <v>4</v>
      </c>
    </row>
    <row r="31" spans="1:14" ht="15.75" customHeight="1" x14ac:dyDescent="0.4">
      <c r="K31" s="11">
        <f>INDEX(M$4:P$4,1,N27)</f>
        <v>-1.8966058206525229</v>
      </c>
      <c r="L31" t="s">
        <v>5</v>
      </c>
    </row>
    <row r="32" spans="1:14" ht="15.75" customHeight="1" x14ac:dyDescent="0.6">
      <c r="A32" s="8" t="s">
        <v>10</v>
      </c>
      <c r="B32" s="4">
        <v>0</v>
      </c>
      <c r="C32" s="4">
        <v>-1</v>
      </c>
      <c r="D32" s="4">
        <v>0</v>
      </c>
      <c r="E32" s="4">
        <v>1</v>
      </c>
      <c r="G32" s="8" t="s">
        <v>9</v>
      </c>
      <c r="H32" s="4">
        <v>2</v>
      </c>
      <c r="J32" t="s">
        <v>22</v>
      </c>
      <c r="K32" s="11">
        <f>INDEX(M$4:P$4,1,N28)</f>
        <v>-3.8036700577080658</v>
      </c>
      <c r="L32" t="s">
        <v>6</v>
      </c>
    </row>
    <row r="33" spans="1:12" ht="15.75" customHeight="1" x14ac:dyDescent="0.4">
      <c r="A33" t="s">
        <v>15</v>
      </c>
      <c r="H33" t="s">
        <v>16</v>
      </c>
      <c r="K33" s="11">
        <f>INDEX(M$4:P$4,1,N29)</f>
        <v>0.16815196908677416</v>
      </c>
      <c r="L33" t="s">
        <v>7</v>
      </c>
    </row>
    <row r="35" spans="1:12" ht="25.8" x14ac:dyDescent="0.9">
      <c r="A35" s="9" t="s">
        <v>8</v>
      </c>
      <c r="B35">
        <f t="array" ref="B35:E38">MMULT(TRANSPOSE(X),X)</f>
        <v>20</v>
      </c>
      <c r="C35">
        <v>1093.6000000000001</v>
      </c>
      <c r="D35">
        <v>549.6</v>
      </c>
      <c r="E35">
        <v>10100</v>
      </c>
      <c r="G35" s="9" t="s">
        <v>11</v>
      </c>
      <c r="H35" s="11">
        <f t="array" ref="H35:K38">MINVERSE(B35:E38)</f>
        <v>28.693103635024283</v>
      </c>
      <c r="I35" s="11">
        <v>-0.40905850368749891</v>
      </c>
      <c r="J35" s="11">
        <v>-0.62677885076720574</v>
      </c>
      <c r="K35" s="11">
        <v>2.1679402308298953E-2</v>
      </c>
    </row>
    <row r="36" spans="1:12" x14ac:dyDescent="0.4">
      <c r="A36" t="s">
        <v>17</v>
      </c>
      <c r="B36">
        <v>1093.6000000000001</v>
      </c>
      <c r="C36">
        <v>60180.04</v>
      </c>
      <c r="D36">
        <v>29952.36</v>
      </c>
      <c r="E36">
        <v>554069.00000000012</v>
      </c>
      <c r="G36" t="s">
        <v>17</v>
      </c>
      <c r="H36" s="11">
        <v>-0.40905850368750074</v>
      </c>
      <c r="I36" s="11">
        <v>7.065442999342455E-3</v>
      </c>
      <c r="J36" s="11">
        <v>9.0001606976056001E-3</v>
      </c>
      <c r="K36" s="11">
        <v>-4.4476106036979522E-4</v>
      </c>
    </row>
    <row r="37" spans="1:12" x14ac:dyDescent="0.4">
      <c r="B37">
        <v>549.6</v>
      </c>
      <c r="C37">
        <v>29952.36</v>
      </c>
      <c r="D37">
        <v>15283.419999999998</v>
      </c>
      <c r="E37">
        <v>279613.90000000002</v>
      </c>
      <c r="H37" s="11">
        <v>-0.62677885076720152</v>
      </c>
      <c r="I37" s="11">
        <v>9.0001606976055151E-3</v>
      </c>
      <c r="J37" s="11">
        <v>1.9811793506773707E-2</v>
      </c>
      <c r="K37" s="11">
        <v>-8.114416272158604E-4</v>
      </c>
    </row>
    <row r="38" spans="1:12" x14ac:dyDescent="0.4">
      <c r="B38">
        <v>10100</v>
      </c>
      <c r="C38">
        <v>554069.00000000012</v>
      </c>
      <c r="D38">
        <v>279613.90000000002</v>
      </c>
      <c r="E38">
        <v>5170916</v>
      </c>
      <c r="H38" s="11">
        <v>2.1679402308298928E-2</v>
      </c>
      <c r="I38" s="11">
        <v>-4.4476106036979419E-4</v>
      </c>
      <c r="J38" s="11">
        <v>-8.114416272158617E-4</v>
      </c>
      <c r="K38" s="11">
        <v>4.9383264135867914E-5</v>
      </c>
    </row>
    <row r="41" spans="1:12" x14ac:dyDescent="0.4">
      <c r="E41">
        <f t="array" ref="E41">MMULT(MMULT(RR,H35:K38),TRANSPOSE(RR))</f>
        <v>8.0043483842179124E-3</v>
      </c>
      <c r="J41">
        <f>1/E41</f>
        <v>124.93209340708974</v>
      </c>
    </row>
    <row r="44" spans="1:12" x14ac:dyDescent="0.4">
      <c r="B44" t="s">
        <v>18</v>
      </c>
      <c r="G44" t="s">
        <v>16</v>
      </c>
    </row>
    <row r="47" spans="1:12" x14ac:dyDescent="0.4">
      <c r="J47">
        <f>N8/N7</f>
        <v>8.5989717460542927</v>
      </c>
    </row>
    <row r="48" spans="1:12" x14ac:dyDescent="0.4">
      <c r="G48">
        <f>(MMULT(RR,K30:K33)-H32)^2*J41</f>
        <v>0.52391164534860213</v>
      </c>
    </row>
    <row r="51" spans="2:11" x14ac:dyDescent="0.4">
      <c r="B51" t="s">
        <v>16</v>
      </c>
    </row>
    <row r="53" spans="2:11" ht="12.75" customHeight="1" x14ac:dyDescent="0.4">
      <c r="I53" s="19" t="s">
        <v>12</v>
      </c>
      <c r="J53" s="19"/>
    </row>
    <row r="54" spans="2:11" ht="12.75" customHeight="1" x14ac:dyDescent="0.4">
      <c r="I54" s="19"/>
      <c r="J54" s="19"/>
    </row>
    <row r="55" spans="2:11" ht="12.75" customHeight="1" x14ac:dyDescent="0.4">
      <c r="G55">
        <f>G48/J47</f>
        <v>6.0927243491525972E-2</v>
      </c>
      <c r="I55" s="19"/>
      <c r="J55" s="19"/>
      <c r="K55">
        <f>FDIST(G55,1,N7)</f>
        <v>0.80817547090505981</v>
      </c>
    </row>
    <row r="56" spans="2:11" ht="12.75" customHeight="1" x14ac:dyDescent="0.4">
      <c r="I56" s="19"/>
      <c r="J56" s="19"/>
    </row>
    <row r="59" spans="2:11" x14ac:dyDescent="0.4">
      <c r="C59" s="18"/>
    </row>
    <row r="60" spans="2:11" x14ac:dyDescent="0.4">
      <c r="C60" s="18"/>
    </row>
    <row r="61" spans="2:11" x14ac:dyDescent="0.4">
      <c r="C61" s="18"/>
    </row>
    <row r="62" spans="2:11" x14ac:dyDescent="0.4">
      <c r="C62" s="18"/>
    </row>
    <row r="74" ht="21.75" customHeight="1" x14ac:dyDescent="0.4"/>
    <row r="95" spans="7:8" ht="22.5" x14ac:dyDescent="0.75">
      <c r="G95" s="6">
        <f>SUMSQ(I3:I21)/SUMSQ(G2:G21)</f>
        <v>1.819592599381826</v>
      </c>
    </row>
    <row r="96" spans="7:8" x14ac:dyDescent="0.4">
      <c r="G96" s="18" t="s">
        <v>14</v>
      </c>
      <c r="H96" s="18"/>
    </row>
    <row r="97" spans="7:8" x14ac:dyDescent="0.4">
      <c r="G97" s="18"/>
      <c r="H97" s="18"/>
    </row>
    <row r="98" spans="7:8" x14ac:dyDescent="0.4">
      <c r="G98" s="18"/>
      <c r="H98" s="18"/>
    </row>
    <row r="99" spans="7:8" x14ac:dyDescent="0.4">
      <c r="G99" s="18"/>
      <c r="H99" s="18"/>
    </row>
    <row r="100" spans="7:8" x14ac:dyDescent="0.4">
      <c r="G100" s="18"/>
      <c r="H100" s="18"/>
    </row>
    <row r="101" spans="7:8" x14ac:dyDescent="0.4">
      <c r="G101" s="18"/>
      <c r="H101" s="18"/>
    </row>
    <row r="116" spans="3:12" ht="36.9" x14ac:dyDescent="0.4">
      <c r="C116" s="1" t="s">
        <v>2</v>
      </c>
      <c r="D116" s="1" t="s">
        <v>1</v>
      </c>
      <c r="E116" s="1" t="s">
        <v>0</v>
      </c>
      <c r="F116" t="s">
        <v>3</v>
      </c>
    </row>
    <row r="117" spans="3:12" x14ac:dyDescent="0.4">
      <c r="C117" s="11">
        <f t="array" ref="C117:F121">LINEST(F2:F11,C2:E11,1,1)</f>
        <v>0.11927369342202016</v>
      </c>
      <c r="D117" s="11">
        <v>-2.1927789897934464</v>
      </c>
      <c r="E117" s="11">
        <v>-1.0169092499748871</v>
      </c>
      <c r="F117" s="11">
        <v>122.71852183917025</v>
      </c>
    </row>
    <row r="118" spans="3:12" x14ac:dyDescent="0.4">
      <c r="C118" s="11">
        <v>9.0195248899093083E-2</v>
      </c>
      <c r="D118" s="11">
        <v>1.8415895816220151</v>
      </c>
      <c r="E118" s="11">
        <v>0.91806292651390875</v>
      </c>
      <c r="F118" s="11">
        <v>64.943323452251903</v>
      </c>
    </row>
    <row r="119" spans="3:12" ht="15" x14ac:dyDescent="0.5">
      <c r="C119" s="11">
        <v>0.22635172642683418</v>
      </c>
      <c r="D119" s="11">
        <v>3.6184559389264739</v>
      </c>
      <c r="E119" s="11" t="e">
        <v>#N/A</v>
      </c>
      <c r="F119" s="11" t="e">
        <v>#N/A</v>
      </c>
      <c r="G119" s="12" t="s">
        <v>20</v>
      </c>
    </row>
    <row r="120" spans="3:12" x14ac:dyDescent="0.4">
      <c r="C120" s="11">
        <v>0.58515409174613131</v>
      </c>
      <c r="D120" s="11">
        <v>6</v>
      </c>
      <c r="E120" s="11" t="e">
        <v>#N/A</v>
      </c>
      <c r="F120" s="11" t="e">
        <v>#N/A</v>
      </c>
    </row>
    <row r="121" spans="3:12" x14ac:dyDescent="0.4">
      <c r="C121" s="11">
        <v>22.984659708286472</v>
      </c>
      <c r="D121" s="11">
        <v>78.559340291713625</v>
      </c>
      <c r="E121" s="11" t="e">
        <v>#N/A</v>
      </c>
      <c r="F121" s="11" t="e">
        <v>#N/A</v>
      </c>
    </row>
    <row r="123" spans="3:12" ht="37.799999999999997" x14ac:dyDescent="0.55000000000000004">
      <c r="C123" s="1" t="s">
        <v>2</v>
      </c>
      <c r="D123" s="1" t="s">
        <v>1</v>
      </c>
      <c r="E123" s="1" t="s">
        <v>0</v>
      </c>
      <c r="F123" t="s">
        <v>3</v>
      </c>
      <c r="K123" s="13" t="s">
        <v>23</v>
      </c>
      <c r="L123">
        <f>D121/D128</f>
        <v>1.9345819383286098</v>
      </c>
    </row>
    <row r="124" spans="3:12" x14ac:dyDescent="0.4">
      <c r="C124" s="11">
        <f t="array" ref="C124:F128">LINEST(F12:F21,C12:E21,1,1)</f>
        <v>0.1783106175719878</v>
      </c>
      <c r="D124" s="11">
        <v>-3.8524283049393997</v>
      </c>
      <c r="E124" s="11">
        <v>-2.1956147011545522</v>
      </c>
      <c r="F124" s="11">
        <v>201.58080358055213</v>
      </c>
    </row>
    <row r="125" spans="3:12" ht="17.399999999999999" x14ac:dyDescent="0.55000000000000004">
      <c r="C125" s="11">
        <v>2.2815847472850277E-2</v>
      </c>
      <c r="D125" s="11">
        <v>0.45792229231344816</v>
      </c>
      <c r="E125" s="11">
        <v>0.38781489269295699</v>
      </c>
      <c r="F125" s="11">
        <v>18.5126018056691</v>
      </c>
      <c r="G125" s="12" t="s">
        <v>21</v>
      </c>
      <c r="K125" s="13" t="s">
        <v>24</v>
      </c>
      <c r="L125">
        <f>FDIST(L123,D120,D127)</f>
        <v>0.22100631722344688</v>
      </c>
    </row>
    <row r="126" spans="3:12" x14ac:dyDescent="0.4">
      <c r="C126" s="11">
        <v>0.93174968156661164</v>
      </c>
      <c r="D126" s="11">
        <v>2.6015353067336209</v>
      </c>
      <c r="E126" s="11" t="e">
        <v>#N/A</v>
      </c>
      <c r="F126" s="11" t="e">
        <v>#N/A</v>
      </c>
    </row>
    <row r="127" spans="3:12" x14ac:dyDescent="0.4">
      <c r="C127" s="11">
        <v>27.303892581131041</v>
      </c>
      <c r="D127" s="11">
        <v>6</v>
      </c>
      <c r="E127" s="11" t="e">
        <v>#N/A</v>
      </c>
      <c r="F127" s="11" t="e">
        <v>#N/A</v>
      </c>
    </row>
    <row r="128" spans="3:12" x14ac:dyDescent="0.4">
      <c r="C128" s="11">
        <v>554.37708428691042</v>
      </c>
      <c r="D128" s="11">
        <v>40.607915713089568</v>
      </c>
      <c r="E128" s="11" t="e">
        <v>#N/A</v>
      </c>
      <c r="F128" s="11" t="e">
        <v>#N/A</v>
      </c>
    </row>
    <row r="136" spans="4:6" x14ac:dyDescent="0.4">
      <c r="D136" s="10"/>
      <c r="E136" s="10"/>
      <c r="F136" s="10"/>
    </row>
    <row r="137" spans="4:6" x14ac:dyDescent="0.4">
      <c r="D137" s="10"/>
      <c r="E137" s="10"/>
      <c r="F137" s="10"/>
    </row>
  </sheetData>
  <mergeCells count="3">
    <mergeCell ref="G96:H101"/>
    <mergeCell ref="C59:C62"/>
    <mergeCell ref="I53:J56"/>
  </mergeCells>
  <phoneticPr fontId="2" type="noConversion"/>
  <pageMargins left="0.75" right="0.75" top="1" bottom="1" header="0.5" footer="0.5"/>
  <pageSetup paperSize="9" orientation="portrait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Equation.3" shapeId="2049" r:id="rId3">
          <objectPr defaultSize="0" autoPict="0" r:id="rId4">
            <anchor moveWithCells="1" sizeWithCells="1">
              <from>
                <xdr:col>1</xdr:col>
                <xdr:colOff>45720</xdr:colOff>
                <xdr:row>38</xdr:row>
                <xdr:rowOff>144780</xdr:rowOff>
              </from>
              <to>
                <xdr:col>3</xdr:col>
                <xdr:colOff>365760</xdr:colOff>
                <xdr:row>43</xdr:row>
                <xdr:rowOff>11430</xdr:rowOff>
              </to>
            </anchor>
          </objectPr>
        </oleObject>
      </mc:Choice>
      <mc:Fallback>
        <oleObject progId="Equation.3" shapeId="2049" r:id="rId3"/>
      </mc:Fallback>
    </mc:AlternateContent>
    <mc:AlternateContent xmlns:mc="http://schemas.openxmlformats.org/markup-compatibility/2006">
      <mc:Choice Requires="x14">
        <oleObject progId="Equation.3" shapeId="2050" r:id="rId5">
          <objectPr defaultSize="0" autoPict="0" r:id="rId6">
            <anchor moveWithCells="1" sizeWithCells="1">
              <from>
                <xdr:col>5</xdr:col>
                <xdr:colOff>422910</xdr:colOff>
                <xdr:row>38</xdr:row>
                <xdr:rowOff>95250</xdr:rowOff>
              </from>
              <to>
                <xdr:col>8</xdr:col>
                <xdr:colOff>822960</xdr:colOff>
                <xdr:row>43</xdr:row>
                <xdr:rowOff>0</xdr:rowOff>
              </to>
            </anchor>
          </objectPr>
        </oleObject>
      </mc:Choice>
      <mc:Fallback>
        <oleObject progId="Equation.3" shapeId="2050" r:id="rId5"/>
      </mc:Fallback>
    </mc:AlternateContent>
    <mc:AlternateContent xmlns:mc="http://schemas.openxmlformats.org/markup-compatibility/2006">
      <mc:Choice Requires="x14">
        <oleObject progId="Equation.3" shapeId="2053" r:id="rId7">
          <objectPr defaultSize="0" autoPict="0" r:id="rId8">
            <anchor moveWithCells="1" sizeWithCells="1">
              <from>
                <xdr:col>0</xdr:col>
                <xdr:colOff>422910</xdr:colOff>
                <xdr:row>44</xdr:row>
                <xdr:rowOff>95250</xdr:rowOff>
              </from>
              <to>
                <xdr:col>5</xdr:col>
                <xdr:colOff>331470</xdr:colOff>
                <xdr:row>50</xdr:row>
                <xdr:rowOff>22860</xdr:rowOff>
              </to>
            </anchor>
          </objectPr>
        </oleObject>
      </mc:Choice>
      <mc:Fallback>
        <oleObject progId="Equation.3" shapeId="2053" r:id="rId7"/>
      </mc:Fallback>
    </mc:AlternateContent>
    <mc:AlternateContent xmlns:mc="http://schemas.openxmlformats.org/markup-compatibility/2006">
      <mc:Choice Requires="x14">
        <oleObject progId="Equation.3" shapeId="2054" r:id="rId9">
          <objectPr defaultSize="0" autoPict="0" r:id="rId10">
            <anchor moveWithCells="1">
              <from>
                <xdr:col>7</xdr:col>
                <xdr:colOff>205740</xdr:colOff>
                <xdr:row>43</xdr:row>
                <xdr:rowOff>83820</xdr:rowOff>
              </from>
              <to>
                <xdr:col>9</xdr:col>
                <xdr:colOff>34290</xdr:colOff>
                <xdr:row>48</xdr:row>
                <xdr:rowOff>11430</xdr:rowOff>
              </to>
            </anchor>
          </objectPr>
        </oleObject>
      </mc:Choice>
      <mc:Fallback>
        <oleObject progId="Equation.3" shapeId="2054" r:id="rId9"/>
      </mc:Fallback>
    </mc:AlternateContent>
    <mc:AlternateContent xmlns:mc="http://schemas.openxmlformats.org/markup-compatibility/2006">
      <mc:Choice Requires="x14">
        <oleObject progId="Equation.3" shapeId="2055" r:id="rId11">
          <objectPr defaultSize="0" autoPict="0" r:id="rId12">
            <anchor moveWithCells="1" sizeWithCells="1">
              <from>
                <xdr:col>0</xdr:col>
                <xdr:colOff>354330</xdr:colOff>
                <xdr:row>51</xdr:row>
                <xdr:rowOff>60960</xdr:rowOff>
              </from>
              <to>
                <xdr:col>5</xdr:col>
                <xdr:colOff>274320</xdr:colOff>
                <xdr:row>57</xdr:row>
                <xdr:rowOff>144780</xdr:rowOff>
              </to>
            </anchor>
          </objectPr>
        </oleObject>
      </mc:Choice>
      <mc:Fallback>
        <oleObject progId="Equation.3" shapeId="2055" r:id="rId11"/>
      </mc:Fallback>
    </mc:AlternateContent>
    <mc:AlternateContent xmlns:mc="http://schemas.openxmlformats.org/markup-compatibility/2006">
      <mc:Choice Requires="x14">
        <oleObject progId="Equation.3" shapeId="2063" r:id="rId13">
          <objectPr defaultSize="0" autoPict="0" r:id="rId14">
            <anchor moveWithCells="1">
              <from>
                <xdr:col>2</xdr:col>
                <xdr:colOff>365760</xdr:colOff>
                <xdr:row>92</xdr:row>
                <xdr:rowOff>72390</xdr:rowOff>
              </from>
              <to>
                <xdr:col>5</xdr:col>
                <xdr:colOff>125730</xdr:colOff>
                <xdr:row>100</xdr:row>
                <xdr:rowOff>121920</xdr:rowOff>
              </to>
            </anchor>
          </objectPr>
        </oleObject>
      </mc:Choice>
      <mc:Fallback>
        <oleObject progId="Equation.3" shapeId="2063" r:id="rId13"/>
      </mc:Fallback>
    </mc:AlternateContent>
    <mc:AlternateContent xmlns:mc="http://schemas.openxmlformats.org/markup-compatibility/2006">
      <mc:Choice Requires="x14">
        <oleObject progId="Equation.3" shapeId="2090" r:id="rId15">
          <objectPr defaultSize="0" autoPict="0" r:id="rId14">
            <anchor moveWithCells="1">
              <from>
                <xdr:col>2</xdr:col>
                <xdr:colOff>480060</xdr:colOff>
                <xdr:row>21</xdr:row>
                <xdr:rowOff>114300</xdr:rowOff>
              </from>
              <to>
                <xdr:col>4</xdr:col>
                <xdr:colOff>720090</xdr:colOff>
                <xdr:row>27</xdr:row>
                <xdr:rowOff>152400</xdr:rowOff>
              </to>
            </anchor>
          </objectPr>
        </oleObject>
      </mc:Choice>
      <mc:Fallback>
        <oleObject progId="Equation.3" shapeId="2090" r:id="rId1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Testo</vt:lpstr>
      <vt:lpstr>data</vt:lpstr>
      <vt:lpstr>RR</vt:lpstr>
      <vt:lpstr>X</vt:lpstr>
    </vt:vector>
  </TitlesOfParts>
  <Company>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Marco RIANI</cp:lastModifiedBy>
  <cp:lastPrinted>2007-06-25T16:35:00Z</cp:lastPrinted>
  <dcterms:created xsi:type="dcterms:W3CDTF">2007-06-25T13:20:28Z</dcterms:created>
  <dcterms:modified xsi:type="dcterms:W3CDTF">2026-01-12T17:38:29Z</dcterms:modified>
</cp:coreProperties>
</file>
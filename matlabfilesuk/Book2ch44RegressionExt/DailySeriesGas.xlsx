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6RegressionExt\"/>
    </mc:Choice>
  </mc:AlternateContent>
  <xr:revisionPtr revIDLastSave="0" documentId="13_ncr:9_{A26C644D-4AEB-4DE2-A400-BF36CF107615}" xr6:coauthVersionLast="47" xr6:coauthVersionMax="47" xr10:uidLastSave="{00000000-0000-0000-0000-000000000000}"/>
  <bookViews>
    <workbookView xWindow="-96" yWindow="-96" windowWidth="23232" windowHeight="12432" tabRatio="812" activeTab="2" xr2:uid="{2332DEE4-93D0-4337-A69F-571F34F1E18E}"/>
  </bookViews>
  <sheets>
    <sheet name="testo" sheetId="4" r:id="rId1"/>
    <sheet name="dataD" sheetId="1" r:id="rId2"/>
    <sheet name="data" sheetId="8" r:id="rId3"/>
    <sheet name="STAG-SOMMA0" sheetId="6" r:id="rId4"/>
    <sheet name="Grafico1" sheetId="5" r:id="rId5"/>
    <sheet name="y+des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6" l="1"/>
  <c r="R5" i="6"/>
  <c r="R6" i="6"/>
  <c r="R7" i="6"/>
  <c r="R8" i="6"/>
  <c r="R9" i="6"/>
  <c r="R10" i="6"/>
  <c r="R11" i="6"/>
  <c r="R12" i="6"/>
  <c r="R13" i="6"/>
  <c r="R14" i="6"/>
  <c r="R3" i="6"/>
  <c r="F43" i="6"/>
  <c r="O9" i="6" s="1"/>
  <c r="N17" i="6" s="1"/>
  <c r="E43" i="6"/>
  <c r="O10" i="6" s="1"/>
  <c r="N18" i="6" s="1"/>
  <c r="D43" i="6"/>
  <c r="O11" i="6" s="1"/>
  <c r="N19" i="6" s="1"/>
  <c r="C43" i="6"/>
  <c r="O12" i="6" s="1"/>
  <c r="N20" i="6" s="1"/>
  <c r="B43" i="6"/>
  <c r="O13" i="6" s="1"/>
  <c r="N21" i="6" s="1"/>
  <c r="G43" i="6"/>
  <c r="O8" i="6" s="1"/>
  <c r="N16" i="6" s="1"/>
  <c r="V3" i="6" a="1"/>
  <c r="Y3" i="6" s="1"/>
  <c r="B34" i="6" a="1"/>
  <c r="F35" i="6" s="1"/>
  <c r="E35" i="6"/>
  <c r="E36" i="6"/>
  <c r="G36" i="6"/>
  <c r="D38" i="6"/>
  <c r="G38" i="6"/>
  <c r="I43" i="6"/>
  <c r="O6" i="6" s="1"/>
  <c r="H43" i="6"/>
  <c r="O7" i="6" s="1"/>
  <c r="B31" i="6"/>
  <c r="B33" i="6"/>
  <c r="C33" i="6"/>
  <c r="D33" i="6"/>
  <c r="E33" i="6"/>
  <c r="F33" i="6"/>
  <c r="G33" i="6"/>
  <c r="H33" i="6"/>
  <c r="I33" i="6"/>
  <c r="J33" i="6"/>
  <c r="B44" i="6" a="1"/>
  <c r="F46" i="6" s="1"/>
  <c r="B50" i="6"/>
  <c r="C50" i="6"/>
  <c r="B51" i="6" a="1"/>
  <c r="B54" i="6" s="1"/>
  <c r="B53" i="6"/>
  <c r="B55" i="6"/>
  <c r="U2" i="1" a="1"/>
  <c r="U2" i="1" s="1"/>
  <c r="B30" i="1"/>
  <c r="B49" i="1"/>
  <c r="C49" i="1"/>
  <c r="B42" i="1"/>
  <c r="O12" i="1"/>
  <c r="C42" i="1"/>
  <c r="O11" i="1" s="1"/>
  <c r="D42" i="1"/>
  <c r="O10" i="1" s="1"/>
  <c r="E42" i="1"/>
  <c r="O9" i="1" s="1"/>
  <c r="F42" i="1"/>
  <c r="O8" i="1" s="1"/>
  <c r="G42" i="1"/>
  <c r="O7" i="1" s="1"/>
  <c r="H42" i="1"/>
  <c r="O6" i="1" s="1"/>
  <c r="I42" i="1"/>
  <c r="O5" i="1" s="1"/>
  <c r="B43" i="1" a="1"/>
  <c r="D44" i="1" s="1"/>
  <c r="C32" i="1"/>
  <c r="D32" i="1"/>
  <c r="E32" i="1"/>
  <c r="F32" i="1"/>
  <c r="G32" i="1"/>
  <c r="H32" i="1"/>
  <c r="I32" i="1"/>
  <c r="J32" i="1"/>
  <c r="B32" i="1"/>
  <c r="B50" i="1" a="1"/>
  <c r="B50" i="1" s="1"/>
  <c r="B33" i="1" a="1"/>
  <c r="B37" i="1" s="1"/>
  <c r="F48" i="6"/>
  <c r="B48" i="6"/>
  <c r="F47" i="6"/>
  <c r="B47" i="6"/>
  <c r="D44" i="6"/>
  <c r="P11" i="6"/>
  <c r="O19" i="6" s="1"/>
  <c r="AA7" i="6"/>
  <c r="W7" i="6"/>
  <c r="AA6" i="6"/>
  <c r="W6" i="6"/>
  <c r="AA5" i="6"/>
  <c r="W5" i="6"/>
  <c r="AA4" i="6"/>
  <c r="AA3" i="6"/>
  <c r="W3" i="6"/>
  <c r="X6" i="1"/>
  <c r="V6" i="1"/>
  <c r="AB5" i="1"/>
  <c r="Z5" i="1"/>
  <c r="X5" i="1"/>
  <c r="V5" i="1"/>
  <c r="AB4" i="1"/>
  <c r="Z4" i="1"/>
  <c r="X4" i="1"/>
  <c r="AB3" i="1"/>
  <c r="Z3" i="1"/>
  <c r="Y5" i="1"/>
  <c r="W5" i="1"/>
  <c r="AA4" i="1"/>
  <c r="Y4" i="1"/>
  <c r="W4" i="1"/>
  <c r="U4" i="1"/>
  <c r="AA3" i="1"/>
  <c r="X4" i="6"/>
  <c r="V4" i="6"/>
  <c r="AB3" i="6"/>
  <c r="Z3" i="6"/>
  <c r="X3" i="6"/>
  <c r="E45" i="6"/>
  <c r="C45" i="6"/>
  <c r="I44" i="6"/>
  <c r="P6" i="6"/>
  <c r="G44" i="6"/>
  <c r="P8" i="6"/>
  <c r="E44" i="6"/>
  <c r="P10" i="6"/>
  <c r="O18" i="6" s="1"/>
  <c r="C44" i="6"/>
  <c r="P12" i="6"/>
  <c r="O20" i="6"/>
  <c r="O16" i="6"/>
  <c r="J34" i="1" l="1"/>
  <c r="D45" i="1"/>
  <c r="E35" i="1"/>
  <c r="F45" i="1"/>
  <c r="G35" i="1"/>
  <c r="H45" i="1"/>
  <c r="I35" i="1"/>
  <c r="B46" i="1"/>
  <c r="B36" i="1"/>
  <c r="D46" i="1"/>
  <c r="D36" i="1"/>
  <c r="F46" i="1"/>
  <c r="F36" i="1"/>
  <c r="Y3" i="1"/>
  <c r="F43" i="1"/>
  <c r="P8" i="1" s="1"/>
  <c r="S12" i="1" s="1"/>
  <c r="I33" i="1"/>
  <c r="H43" i="1"/>
  <c r="P6" i="1" s="1"/>
  <c r="B34" i="1"/>
  <c r="B44" i="1"/>
  <c r="D34" i="1"/>
  <c r="F44" i="1"/>
  <c r="F34" i="1"/>
  <c r="H44" i="1"/>
  <c r="H34" i="1"/>
  <c r="B45" i="1"/>
  <c r="H36" i="1"/>
  <c r="J36" i="1"/>
  <c r="C37" i="1"/>
  <c r="H35" i="1"/>
  <c r="J35" i="1"/>
  <c r="C36" i="1"/>
  <c r="E36" i="1"/>
  <c r="G36" i="1"/>
  <c r="AA5" i="1"/>
  <c r="I36" i="1"/>
  <c r="U6" i="1"/>
  <c r="D37" i="1"/>
  <c r="W6" i="1"/>
  <c r="F37" i="1"/>
  <c r="Y6" i="1"/>
  <c r="H37" i="1"/>
  <c r="AA6" i="1"/>
  <c r="J37" i="1"/>
  <c r="C33" i="1"/>
  <c r="C43" i="1"/>
  <c r="P11" i="1" s="1"/>
  <c r="S17" i="1" s="1"/>
  <c r="AB2" i="1"/>
  <c r="Z2" i="1"/>
  <c r="V3" i="1"/>
  <c r="X3" i="1"/>
  <c r="O22" i="6"/>
  <c r="V26" i="6"/>
  <c r="C53" i="6"/>
  <c r="H38" i="6"/>
  <c r="V3" i="6"/>
  <c r="C52" i="6"/>
  <c r="F38" i="6"/>
  <c r="D35" i="6"/>
  <c r="B52" i="6"/>
  <c r="E38" i="6"/>
  <c r="C38" i="6"/>
  <c r="B35" i="6"/>
  <c r="B51" i="6"/>
  <c r="B38" i="6"/>
  <c r="I37" i="6"/>
  <c r="J34" i="6"/>
  <c r="C47" i="6"/>
  <c r="H33" i="1"/>
  <c r="V6" i="6"/>
  <c r="B52" i="1"/>
  <c r="G45" i="1"/>
  <c r="E44" i="1"/>
  <c r="D47" i="6"/>
  <c r="H37" i="6"/>
  <c r="I34" i="6"/>
  <c r="H46" i="1"/>
  <c r="H44" i="6"/>
  <c r="P7" i="6" s="1"/>
  <c r="C46" i="6"/>
  <c r="I44" i="1"/>
  <c r="H47" i="6"/>
  <c r="G37" i="6"/>
  <c r="F37" i="6"/>
  <c r="G34" i="6"/>
  <c r="E37" i="6"/>
  <c r="C35" i="6"/>
  <c r="I37" i="1"/>
  <c r="D47" i="1"/>
  <c r="B43" i="1"/>
  <c r="P12" i="1" s="1"/>
  <c r="B33" i="1"/>
  <c r="B39" i="1" s="1"/>
  <c r="B40" i="1" s="1"/>
  <c r="C45" i="1"/>
  <c r="E37" i="1"/>
  <c r="AB4" i="6"/>
  <c r="E46" i="6"/>
  <c r="X5" i="6"/>
  <c r="E43" i="1"/>
  <c r="P9" i="1" s="1"/>
  <c r="D46" i="6"/>
  <c r="I46" i="6"/>
  <c r="F33" i="1"/>
  <c r="AB5" i="6"/>
  <c r="B51" i="1"/>
  <c r="H46" i="6"/>
  <c r="X6" i="6"/>
  <c r="B53" i="1"/>
  <c r="B44" i="6"/>
  <c r="P13" i="6" s="1"/>
  <c r="O21" i="6" s="1"/>
  <c r="H34" i="6"/>
  <c r="H40" i="6" s="1"/>
  <c r="H41" i="6" s="1"/>
  <c r="G47" i="6"/>
  <c r="Z6" i="6"/>
  <c r="B54" i="1"/>
  <c r="G46" i="1"/>
  <c r="E45" i="1"/>
  <c r="D48" i="6"/>
  <c r="I47" i="6"/>
  <c r="C34" i="1"/>
  <c r="C39" i="1" s="1"/>
  <c r="AB6" i="6"/>
  <c r="C47" i="1"/>
  <c r="C57" i="1" s="1"/>
  <c r="I45" i="1"/>
  <c r="H48" i="6"/>
  <c r="C48" i="6"/>
  <c r="E34" i="1"/>
  <c r="V7" i="6"/>
  <c r="G47" i="1"/>
  <c r="E46" i="1"/>
  <c r="D37" i="6"/>
  <c r="E48" i="6"/>
  <c r="G34" i="1"/>
  <c r="X7" i="6"/>
  <c r="W2" i="1"/>
  <c r="C50" i="1"/>
  <c r="I46" i="1"/>
  <c r="F44" i="6"/>
  <c r="P9" i="6" s="1"/>
  <c r="O17" i="6" s="1"/>
  <c r="G45" i="6"/>
  <c r="Z6" i="1"/>
  <c r="I45" i="6"/>
  <c r="G37" i="1"/>
  <c r="B47" i="1"/>
  <c r="AB6" i="1"/>
  <c r="C51" i="6"/>
  <c r="V5" i="6"/>
  <c r="C44" i="1"/>
  <c r="G44" i="1"/>
  <c r="I43" i="1"/>
  <c r="P5" i="1" s="1"/>
  <c r="E47" i="6"/>
  <c r="J33" i="1"/>
  <c r="J39" i="1" s="1"/>
  <c r="C46" i="1"/>
  <c r="C37" i="6"/>
  <c r="F34" i="6"/>
  <c r="F40" i="6" s="1"/>
  <c r="F41" i="6" s="1"/>
  <c r="G48" i="6"/>
  <c r="I34" i="1"/>
  <c r="I39" i="1" s="1"/>
  <c r="Z7" i="6"/>
  <c r="Y2" i="1"/>
  <c r="C52" i="1"/>
  <c r="E47" i="1"/>
  <c r="B45" i="6"/>
  <c r="B37" i="6"/>
  <c r="E34" i="6"/>
  <c r="E40" i="6" s="1"/>
  <c r="E41" i="6" s="1"/>
  <c r="Z4" i="6"/>
  <c r="G43" i="1"/>
  <c r="P7" i="1" s="1"/>
  <c r="S11" i="1" s="1"/>
  <c r="H45" i="6"/>
  <c r="I48" i="6"/>
  <c r="B35" i="1"/>
  <c r="AB7" i="6"/>
  <c r="AA2" i="1"/>
  <c r="C54" i="1"/>
  <c r="I47" i="1"/>
  <c r="F45" i="6"/>
  <c r="J36" i="6"/>
  <c r="D34" i="6"/>
  <c r="D40" i="6" s="1"/>
  <c r="D41" i="6" s="1"/>
  <c r="E33" i="1"/>
  <c r="D35" i="1"/>
  <c r="U3" i="1"/>
  <c r="V2" i="1"/>
  <c r="C51" i="1"/>
  <c r="B46" i="6"/>
  <c r="I36" i="6"/>
  <c r="C34" i="6"/>
  <c r="D45" i="6"/>
  <c r="F47" i="1"/>
  <c r="G46" i="6"/>
  <c r="D33" i="1"/>
  <c r="Z5" i="6"/>
  <c r="H47" i="1"/>
  <c r="J37" i="6"/>
  <c r="G33" i="1"/>
  <c r="F35" i="1"/>
  <c r="D43" i="1"/>
  <c r="P10" i="1" s="1"/>
  <c r="S14" i="1" s="1"/>
  <c r="W3" i="1"/>
  <c r="X2" i="1"/>
  <c r="C53" i="1"/>
  <c r="H36" i="6"/>
  <c r="F36" i="6"/>
  <c r="B34" i="6"/>
  <c r="B40" i="6" s="1"/>
  <c r="B41" i="6" s="1"/>
  <c r="D36" i="6"/>
  <c r="AC7" i="6"/>
  <c r="C36" i="6"/>
  <c r="Y7" i="6"/>
  <c r="B36" i="6"/>
  <c r="AC6" i="6"/>
  <c r="C35" i="1"/>
  <c r="U5" i="1"/>
  <c r="V4" i="1"/>
  <c r="W4" i="6"/>
  <c r="J35" i="6"/>
  <c r="Y6" i="6"/>
  <c r="AC5" i="6"/>
  <c r="I35" i="6"/>
  <c r="Y5" i="6"/>
  <c r="C55" i="6"/>
  <c r="H35" i="6"/>
  <c r="AC4" i="6"/>
  <c r="Y4" i="6"/>
  <c r="C54" i="6"/>
  <c r="J38" i="6"/>
  <c r="G35" i="6"/>
  <c r="AC3" i="6"/>
  <c r="I38" i="6"/>
  <c r="J40" i="1" l="1"/>
  <c r="C40" i="1"/>
  <c r="I40" i="1"/>
  <c r="D39" i="1"/>
  <c r="D40" i="1" s="1"/>
  <c r="E39" i="1"/>
  <c r="E40" i="1" s="1"/>
  <c r="G39" i="1"/>
  <c r="G40" i="1" s="1"/>
  <c r="H39" i="1"/>
  <c r="H40" i="1" s="1"/>
  <c r="C56" i="1"/>
  <c r="C59" i="1" s="1"/>
  <c r="C61" i="1" s="1"/>
  <c r="F39" i="1"/>
  <c r="F40" i="1" s="1"/>
  <c r="J40" i="6"/>
  <c r="J41" i="6" s="1"/>
  <c r="S13" i="1"/>
  <c r="S15" i="1"/>
  <c r="S16" i="1"/>
  <c r="C58" i="6"/>
  <c r="G40" i="6"/>
  <c r="G41" i="6" s="1"/>
  <c r="C57" i="6"/>
  <c r="C60" i="6" s="1"/>
  <c r="C62" i="6" s="1"/>
  <c r="C40" i="6"/>
  <c r="C41" i="6" s="1"/>
  <c r="O23" i="6"/>
  <c r="P17" i="6" s="1"/>
  <c r="K66" i="1"/>
  <c r="L2" i="1" a="1"/>
  <c r="R11" i="1"/>
  <c r="I40" i="6"/>
  <c r="I41" i="6" s="1"/>
  <c r="P21" i="6" l="1"/>
  <c r="L12" i="1"/>
  <c r="L27" i="1"/>
  <c r="L25" i="1"/>
  <c r="L23" i="1"/>
  <c r="L21" i="1"/>
  <c r="L7" i="1"/>
  <c r="L19" i="1"/>
  <c r="L17" i="1"/>
  <c r="L15" i="1"/>
  <c r="L13" i="1"/>
  <c r="L11" i="1"/>
  <c r="L5" i="1"/>
  <c r="L3" i="1"/>
  <c r="L9" i="1"/>
  <c r="L6" i="1"/>
  <c r="L18" i="1"/>
  <c r="L14" i="1"/>
  <c r="L10" i="1"/>
  <c r="L4" i="1"/>
  <c r="L2" i="1"/>
  <c r="L29" i="1"/>
  <c r="L22" i="1"/>
  <c r="L20" i="1"/>
  <c r="L8" i="1"/>
  <c r="L28" i="1"/>
  <c r="L26" i="1"/>
  <c r="L24" i="1"/>
  <c r="L16" i="1"/>
  <c r="P22" i="6"/>
  <c r="P19" i="6"/>
  <c r="P16" i="6"/>
  <c r="P18" i="6"/>
  <c r="P20" i="6"/>
  <c r="L30" i="1" l="1"/>
  <c r="L17" i="6" a="1"/>
  <c r="L17" i="6" s="1"/>
  <c r="L18" i="6" a="1"/>
  <c r="L18" i="6" s="1"/>
  <c r="L24" i="6" a="1"/>
  <c r="L24" i="6" s="1"/>
  <c r="L5" i="6" a="1"/>
  <c r="L5" i="6" s="1"/>
  <c r="L22" i="6" a="1"/>
  <c r="L22" i="6" s="1"/>
  <c r="L23" i="6" a="1"/>
  <c r="L23" i="6" s="1"/>
  <c r="L19" i="6" a="1"/>
  <c r="L19" i="6" s="1"/>
  <c r="L4" i="6" a="1"/>
  <c r="L4" i="6" s="1"/>
  <c r="L20" i="6" a="1"/>
  <c r="L20" i="6" s="1"/>
  <c r="L6" i="6" a="1"/>
  <c r="L6" i="6" s="1"/>
  <c r="L7" i="6" a="1"/>
  <c r="L7" i="6" s="1"/>
  <c r="L21" i="6" a="1"/>
  <c r="L21" i="6" s="1"/>
  <c r="L8" i="6" a="1"/>
  <c r="L8" i="6" s="1"/>
  <c r="L16" i="6" a="1"/>
  <c r="L16" i="6" s="1"/>
  <c r="L28" i="6" a="1"/>
  <c r="L28" i="6" s="1"/>
  <c r="L29" i="6" a="1"/>
  <c r="L29" i="6" s="1"/>
  <c r="L30" i="6" a="1"/>
  <c r="L30" i="6" s="1"/>
  <c r="L3" i="6" a="1"/>
  <c r="L3" i="6" s="1"/>
  <c r="L9" i="6" a="1"/>
  <c r="L9" i="6" s="1"/>
  <c r="L25" i="6" a="1"/>
  <c r="L25" i="6" s="1"/>
  <c r="L27" i="6" a="1"/>
  <c r="L27" i="6" s="1"/>
  <c r="P23" i="6"/>
  <c r="L13" i="6" a="1"/>
  <c r="L13" i="6" s="1"/>
  <c r="L26" i="6" a="1"/>
  <c r="L26" i="6" s="1"/>
  <c r="L14" i="6" a="1"/>
  <c r="L14" i="6" s="1"/>
  <c r="L11" i="6" a="1"/>
  <c r="L11" i="6" s="1"/>
  <c r="L12" i="6" a="1"/>
  <c r="L12" i="6" s="1"/>
  <c r="L10" i="6" a="1"/>
  <c r="L10" i="6" s="1"/>
  <c r="L15" i="6" a="1"/>
  <c r="L15" i="6" s="1"/>
  <c r="S9" i="6" l="1"/>
  <c r="S3" i="6"/>
  <c r="L31" i="6"/>
  <c r="S7" i="6"/>
  <c r="S12" i="6"/>
  <c r="S8" i="6"/>
  <c r="S6" i="6"/>
  <c r="S4" i="6"/>
  <c r="S5" i="6"/>
  <c r="S10" i="6"/>
  <c r="S14" i="6"/>
  <c r="S11" i="6"/>
  <c r="S13" i="6"/>
</calcChain>
</file>

<file path=xl/sharedStrings.xml><?xml version="1.0" encoding="utf-8"?>
<sst xmlns="http://schemas.openxmlformats.org/spreadsheetml/2006/main" count="163" uniqueCount="94">
  <si>
    <t>2 febbraio 2007</t>
  </si>
  <si>
    <t>3 febbraio 2007</t>
  </si>
  <si>
    <t>4 febbraio 2007</t>
  </si>
  <si>
    <t>5 febbraio 2007</t>
  </si>
  <si>
    <t>6 febbraio 2007</t>
  </si>
  <si>
    <t>7 febbraio 2007</t>
  </si>
  <si>
    <t>8 febbraio 2007</t>
  </si>
  <si>
    <t>9 febbraio 2007</t>
  </si>
  <si>
    <t>10 febbraio 2007</t>
  </si>
  <si>
    <t>11 febbraio 2007</t>
  </si>
  <si>
    <t>12 febbraio 2007</t>
  </si>
  <si>
    <t>13 febbraio 2007</t>
  </si>
  <si>
    <t>14 febbraio 2007</t>
  </si>
  <si>
    <t>15 febbraio 2007</t>
  </si>
  <si>
    <t>16 febbraio 2007</t>
  </si>
  <si>
    <t>17 febbraio 2007</t>
  </si>
  <si>
    <t>18 febbraio 2007</t>
  </si>
  <si>
    <t>19 febbraio 2007</t>
  </si>
  <si>
    <t>20 febbraio 2007</t>
  </si>
  <si>
    <t>21 febbraio 2007</t>
  </si>
  <si>
    <t>22 febbraio 2007</t>
  </si>
  <si>
    <t>23 febbraio 2007</t>
  </si>
  <si>
    <t>24 febbraio 2007</t>
  </si>
  <si>
    <t>25 febbraio 2007</t>
  </si>
  <si>
    <t>26 febbraio 2007</t>
  </si>
  <si>
    <t>27 febbraio 2007</t>
  </si>
  <si>
    <t>28 febbraio 2007</t>
  </si>
  <si>
    <t>gio</t>
  </si>
  <si>
    <t>ven</t>
  </si>
  <si>
    <t>sab</t>
  </si>
  <si>
    <t>dom</t>
  </si>
  <si>
    <t>lun</t>
  </si>
  <si>
    <t>mar</t>
  </si>
  <si>
    <t>Modello</t>
  </si>
  <si>
    <t>originale</t>
  </si>
  <si>
    <t>Test F</t>
  </si>
  <si>
    <t>Den F</t>
  </si>
  <si>
    <t>Num F</t>
  </si>
  <si>
    <t>Da confrontare con F(6;20)</t>
  </si>
  <si>
    <t>pvalue</t>
  </si>
  <si>
    <t>beta cappello</t>
  </si>
  <si>
    <t>Valori previsti</t>
  </si>
  <si>
    <t>Q1) Stimare tramite la funzione REGR.LIN i parametri del modello di regressione che include come variabili esplicative il "trend", la "stagionalità" (modellata tramite variabili dummies) e la "temperatura media".</t>
  </si>
  <si>
    <t>Rimuovo il trend poiché non significativo al 5%</t>
  </si>
  <si>
    <t xml:space="preserve">Sapendo che la temperatura media del giorno 10 marzo (sabato) è stata di 15 gradi, si calcoli il valore previsto del consumo di gas per tale giorno. </t>
  </si>
  <si>
    <t>Valore previsto</t>
  </si>
  <si>
    <t>R2 molto elevato ==&gt; modello buono</t>
  </si>
  <si>
    <t>Q3) Nel nuovo modello testare la presenza della componente stagionale e commentare il risultato ottenuto. (Significatività al 5%)</t>
  </si>
  <si>
    <t>Q2) Testare la presenza del trend e rimuoverlo se non risulta significativo al 5% riadattando eventualmente il modello.</t>
  </si>
  <si>
    <t>Intercetta</t>
  </si>
  <si>
    <t>Modello senza il trend</t>
  </si>
  <si>
    <t>Il modello riesce a spiegare il 94.4% irca della varianza della variabile dipendente</t>
  </si>
  <si>
    <t>TEST F: Confronto la somma dei quadrati dei residui del modello che contiene la stagionalità con il modello che non la contiene</t>
  </si>
  <si>
    <t>1 febbraio 2007 (giovedì)</t>
  </si>
  <si>
    <t>Cons-gas</t>
  </si>
  <si>
    <t>Temp</t>
  </si>
  <si>
    <t>Trend</t>
  </si>
  <si>
    <t>Data</t>
  </si>
  <si>
    <t>Calcolo delle statistiche t</t>
  </si>
  <si>
    <t>p-values</t>
  </si>
  <si>
    <t>Modello ridotto intercetta +temperatura media</t>
  </si>
  <si>
    <t>mer</t>
  </si>
  <si>
    <t>gamma</t>
  </si>
  <si>
    <t>gamma*</t>
  </si>
  <si>
    <t>Serie destagionalizzata</t>
  </si>
  <si>
    <t>2 February 2024</t>
  </si>
  <si>
    <t>3 February 2024</t>
  </si>
  <si>
    <t>4 February 2024</t>
  </si>
  <si>
    <t>5 February 2024</t>
  </si>
  <si>
    <t>6 February 2024</t>
  </si>
  <si>
    <t>7 February 2024</t>
  </si>
  <si>
    <t>8 February 2024</t>
  </si>
  <si>
    <t>9 February 2024</t>
  </si>
  <si>
    <t>10 February 2024</t>
  </si>
  <si>
    <t>11 February 2024</t>
  </si>
  <si>
    <t>12 February 2024</t>
  </si>
  <si>
    <t>13 February 2024</t>
  </si>
  <si>
    <t>14 February 2024</t>
  </si>
  <si>
    <t>15 February 2024</t>
  </si>
  <si>
    <t>16 February 2024</t>
  </si>
  <si>
    <t>17 February 2024</t>
  </si>
  <si>
    <t>18 February 2024</t>
  </si>
  <si>
    <t>19 February 2024</t>
  </si>
  <si>
    <t>20 February 2024</t>
  </si>
  <si>
    <t>21 February 2024</t>
  </si>
  <si>
    <t>22 February 2024</t>
  </si>
  <si>
    <t>23 February 2024</t>
  </si>
  <si>
    <t>24 February 2024</t>
  </si>
  <si>
    <t>25 February 2024</t>
  </si>
  <si>
    <t>26 February 2024</t>
  </si>
  <si>
    <t>27 February 2024</t>
  </si>
  <si>
    <t>28 February 2024</t>
  </si>
  <si>
    <t>GasCons</t>
  </si>
  <si>
    <t>1 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</si>
</sst>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7" formatCode="0.0"/>
  </numFmts>
  <fonts count="7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2" fontId="0" fillId="0" borderId="0" xfId="0" applyNumberFormat="1"/>
    <xf numFmtId="197" fontId="0" fillId="0" borderId="0" xfId="0" applyNumberFormat="1"/>
    <xf numFmtId="0" fontId="6" fillId="0" borderId="0" xfId="0" applyFont="1"/>
    <xf numFmtId="0" fontId="4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49431230610134"/>
          <c:y val="3.898305084745763E-2"/>
          <c:w val="0.79731127197518092"/>
          <c:h val="0.62203389830508471"/>
        </c:manualLayout>
      </c:layout>
      <c:lineChart>
        <c:grouping val="standard"/>
        <c:varyColors val="0"/>
        <c:ser>
          <c:idx val="0"/>
          <c:order val="0"/>
          <c:tx>
            <c:v>Valori effettivi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dataD!$A$2:$A$29</c:f>
              <c:strCache>
                <c:ptCount val="28"/>
                <c:pt idx="0">
                  <c:v>1 February 2024</c:v>
                </c:pt>
                <c:pt idx="1">
                  <c:v>2 February 2024</c:v>
                </c:pt>
                <c:pt idx="2">
                  <c:v>3 February 2024</c:v>
                </c:pt>
                <c:pt idx="3">
                  <c:v>4 February 2024</c:v>
                </c:pt>
                <c:pt idx="4">
                  <c:v>5 February 2024</c:v>
                </c:pt>
                <c:pt idx="5">
                  <c:v>6 February 2024</c:v>
                </c:pt>
                <c:pt idx="6">
                  <c:v>7 February 2024</c:v>
                </c:pt>
                <c:pt idx="7">
                  <c:v>8 February 2024</c:v>
                </c:pt>
                <c:pt idx="8">
                  <c:v>9 February 2024</c:v>
                </c:pt>
                <c:pt idx="9">
                  <c:v>10 February 2024</c:v>
                </c:pt>
                <c:pt idx="10">
                  <c:v>11 February 2024</c:v>
                </c:pt>
                <c:pt idx="11">
                  <c:v>12 February 2024</c:v>
                </c:pt>
                <c:pt idx="12">
                  <c:v>13 February 2024</c:v>
                </c:pt>
                <c:pt idx="13">
                  <c:v>14 February 2024</c:v>
                </c:pt>
                <c:pt idx="14">
                  <c:v>15 February 2024</c:v>
                </c:pt>
                <c:pt idx="15">
                  <c:v>16 February 2024</c:v>
                </c:pt>
                <c:pt idx="16">
                  <c:v>17 February 2024</c:v>
                </c:pt>
                <c:pt idx="17">
                  <c:v>18 February 2024</c:v>
                </c:pt>
                <c:pt idx="18">
                  <c:v>19 February 2024</c:v>
                </c:pt>
                <c:pt idx="19">
                  <c:v>20 February 2024</c:v>
                </c:pt>
                <c:pt idx="20">
                  <c:v>21 February 2024</c:v>
                </c:pt>
                <c:pt idx="21">
                  <c:v>22 February 2024</c:v>
                </c:pt>
                <c:pt idx="22">
                  <c:v>23 February 2024</c:v>
                </c:pt>
                <c:pt idx="23">
                  <c:v>24 February 2024</c:v>
                </c:pt>
                <c:pt idx="24">
                  <c:v>25 February 2024</c:v>
                </c:pt>
                <c:pt idx="25">
                  <c:v>26 February 2024</c:v>
                </c:pt>
                <c:pt idx="26">
                  <c:v>27 February 2024</c:v>
                </c:pt>
                <c:pt idx="27">
                  <c:v>28 February 2024</c:v>
                </c:pt>
              </c:strCache>
            </c:strRef>
          </c:cat>
          <c:val>
            <c:numRef>
              <c:f>dataD!$B$2:$B$29</c:f>
              <c:numCache>
                <c:formatCode>General</c:formatCode>
                <c:ptCount val="28"/>
                <c:pt idx="0">
                  <c:v>1386958</c:v>
                </c:pt>
                <c:pt idx="1">
                  <c:v>1265555</c:v>
                </c:pt>
                <c:pt idx="2">
                  <c:v>1196059</c:v>
                </c:pt>
                <c:pt idx="3">
                  <c:v>1060831</c:v>
                </c:pt>
                <c:pt idx="4">
                  <c:v>914483</c:v>
                </c:pt>
                <c:pt idx="5">
                  <c:v>793750</c:v>
                </c:pt>
                <c:pt idx="6">
                  <c:v>762958</c:v>
                </c:pt>
                <c:pt idx="7">
                  <c:v>1051044</c:v>
                </c:pt>
                <c:pt idx="8">
                  <c:v>1166432</c:v>
                </c:pt>
                <c:pt idx="9">
                  <c:v>1242801</c:v>
                </c:pt>
                <c:pt idx="10">
                  <c:v>1262514</c:v>
                </c:pt>
                <c:pt idx="11">
                  <c:v>1330696</c:v>
                </c:pt>
                <c:pt idx="12">
                  <c:v>1221052</c:v>
                </c:pt>
                <c:pt idx="13">
                  <c:v>1146966</c:v>
                </c:pt>
                <c:pt idx="14">
                  <c:v>1406802</c:v>
                </c:pt>
                <c:pt idx="15">
                  <c:v>1329972</c:v>
                </c:pt>
                <c:pt idx="16">
                  <c:v>1164491</c:v>
                </c:pt>
                <c:pt idx="17">
                  <c:v>1069930</c:v>
                </c:pt>
                <c:pt idx="18">
                  <c:v>1081091</c:v>
                </c:pt>
                <c:pt idx="19">
                  <c:v>903451</c:v>
                </c:pt>
                <c:pt idx="20">
                  <c:v>795221</c:v>
                </c:pt>
                <c:pt idx="21">
                  <c:v>1053172</c:v>
                </c:pt>
                <c:pt idx="22">
                  <c:v>1028997</c:v>
                </c:pt>
                <c:pt idx="23">
                  <c:v>966384</c:v>
                </c:pt>
                <c:pt idx="24">
                  <c:v>904913</c:v>
                </c:pt>
                <c:pt idx="25">
                  <c:v>902043</c:v>
                </c:pt>
                <c:pt idx="26">
                  <c:v>815695</c:v>
                </c:pt>
                <c:pt idx="27">
                  <c:v>745845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8-48F1-ABA1-645AF1C394F2}"/>
            </c:ext>
          </c:extLst>
        </c:ser>
        <c:ser>
          <c:idx val="1"/>
          <c:order val="1"/>
          <c:tx>
            <c:v>Valori previsti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dataD!$A$2:$A$29</c:f>
              <c:strCache>
                <c:ptCount val="28"/>
                <c:pt idx="0">
                  <c:v>1 February 2024</c:v>
                </c:pt>
                <c:pt idx="1">
                  <c:v>2 February 2024</c:v>
                </c:pt>
                <c:pt idx="2">
                  <c:v>3 February 2024</c:v>
                </c:pt>
                <c:pt idx="3">
                  <c:v>4 February 2024</c:v>
                </c:pt>
                <c:pt idx="4">
                  <c:v>5 February 2024</c:v>
                </c:pt>
                <c:pt idx="5">
                  <c:v>6 February 2024</c:v>
                </c:pt>
                <c:pt idx="6">
                  <c:v>7 February 2024</c:v>
                </c:pt>
                <c:pt idx="7">
                  <c:v>8 February 2024</c:v>
                </c:pt>
                <c:pt idx="8">
                  <c:v>9 February 2024</c:v>
                </c:pt>
                <c:pt idx="9">
                  <c:v>10 February 2024</c:v>
                </c:pt>
                <c:pt idx="10">
                  <c:v>11 February 2024</c:v>
                </c:pt>
                <c:pt idx="11">
                  <c:v>12 February 2024</c:v>
                </c:pt>
                <c:pt idx="12">
                  <c:v>13 February 2024</c:v>
                </c:pt>
                <c:pt idx="13">
                  <c:v>14 February 2024</c:v>
                </c:pt>
                <c:pt idx="14">
                  <c:v>15 February 2024</c:v>
                </c:pt>
                <c:pt idx="15">
                  <c:v>16 February 2024</c:v>
                </c:pt>
                <c:pt idx="16">
                  <c:v>17 February 2024</c:v>
                </c:pt>
                <c:pt idx="17">
                  <c:v>18 February 2024</c:v>
                </c:pt>
                <c:pt idx="18">
                  <c:v>19 February 2024</c:v>
                </c:pt>
                <c:pt idx="19">
                  <c:v>20 February 2024</c:v>
                </c:pt>
                <c:pt idx="20">
                  <c:v>21 February 2024</c:v>
                </c:pt>
                <c:pt idx="21">
                  <c:v>22 February 2024</c:v>
                </c:pt>
                <c:pt idx="22">
                  <c:v>23 February 2024</c:v>
                </c:pt>
                <c:pt idx="23">
                  <c:v>24 February 2024</c:v>
                </c:pt>
                <c:pt idx="24">
                  <c:v>25 February 2024</c:v>
                </c:pt>
                <c:pt idx="25">
                  <c:v>26 February 2024</c:v>
                </c:pt>
                <c:pt idx="26">
                  <c:v>27 February 2024</c:v>
                </c:pt>
                <c:pt idx="27">
                  <c:v>28 February 2024</c:v>
                </c:pt>
              </c:strCache>
            </c:strRef>
          </c:cat>
          <c:val>
            <c:numRef>
              <c:f>dataD!$L$2:$L$29</c:f>
              <c:numCache>
                <c:formatCode>General</c:formatCode>
                <c:ptCount val="28"/>
                <c:pt idx="0">
                  <c:v>1370304.0023533739</c:v>
                </c:pt>
                <c:pt idx="1">
                  <c:v>1206923.882038008</c:v>
                </c:pt>
                <c:pt idx="2">
                  <c:v>1166544.0653497707</c:v>
                </c:pt>
                <c:pt idx="3">
                  <c:v>1002216.0539506887</c:v>
                </c:pt>
                <c:pt idx="4">
                  <c:v>827456.19904980506</c:v>
                </c:pt>
                <c:pt idx="5">
                  <c:v>769307.23357061076</c:v>
                </c:pt>
                <c:pt idx="6">
                  <c:v>795008.99496969255</c:v>
                </c:pt>
                <c:pt idx="7">
                  <c:v>1099349.9822321439</c:v>
                </c:pt>
                <c:pt idx="8">
                  <c:v>1266625.615285059</c:v>
                </c:pt>
                <c:pt idx="9">
                  <c:v>1295132.4138818798</c:v>
                </c:pt>
                <c:pt idx="10">
                  <c:v>1309909.60222395</c:v>
                </c:pt>
                <c:pt idx="11">
                  <c:v>1314254.9470642186</c:v>
                </c:pt>
                <c:pt idx="12">
                  <c:v>1210181.5713949851</c:v>
                </c:pt>
                <c:pt idx="13">
                  <c:v>1098110.1022239502</c:v>
                </c:pt>
                <c:pt idx="14">
                  <c:v>1374896.4433723779</c:v>
                </c:pt>
                <c:pt idx="15">
                  <c:v>1294180.2613990824</c:v>
                </c:pt>
                <c:pt idx="16">
                  <c:v>1093065.0090457082</c:v>
                </c:pt>
                <c:pt idx="17">
                  <c:v>1043548.0231217238</c:v>
                </c:pt>
                <c:pt idx="18">
                  <c:v>1103002.6601900391</c:v>
                </c:pt>
                <c:pt idx="19">
                  <c:v>893303.14108371595</c:v>
                </c:pt>
                <c:pt idx="20">
                  <c:v>795008.99496969255</c:v>
                </c:pt>
                <c:pt idx="21">
                  <c:v>1053425.5720421048</c:v>
                </c:pt>
                <c:pt idx="22">
                  <c:v>1023226.241277852</c:v>
                </c:pt>
                <c:pt idx="23">
                  <c:v>1014993.5117226419</c:v>
                </c:pt>
                <c:pt idx="24">
                  <c:v>942514.3207036379</c:v>
                </c:pt>
                <c:pt idx="25">
                  <c:v>983599.19369593775</c:v>
                </c:pt>
                <c:pt idx="26">
                  <c:v>861156.05395068869</c:v>
                </c:pt>
                <c:pt idx="27">
                  <c:v>762861.90783666528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8-48F1-ABA1-645AF1C39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165312"/>
        <c:axId val="1"/>
      </c:lineChart>
      <c:catAx>
        <c:axId val="126716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7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26716531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21384169084127"/>
          <c:y val="0.13093622795115334"/>
          <c:w val="0.22254455035225856"/>
          <c:h val="0.129579375848032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8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49431230610134"/>
          <c:y val="3.898305084745763E-2"/>
          <c:w val="0.79731127197518092"/>
          <c:h val="0.62203389830508471"/>
        </c:manualLayout>
      </c:layout>
      <c:lineChart>
        <c:grouping val="standard"/>
        <c:varyColors val="0"/>
        <c:ser>
          <c:idx val="0"/>
          <c:order val="0"/>
          <c:tx>
            <c:v>Serie originaria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dataD!$A$2:$A$29</c:f>
              <c:strCache>
                <c:ptCount val="28"/>
                <c:pt idx="0">
                  <c:v>1 February 2024</c:v>
                </c:pt>
                <c:pt idx="1">
                  <c:v>2 February 2024</c:v>
                </c:pt>
                <c:pt idx="2">
                  <c:v>3 February 2024</c:v>
                </c:pt>
                <c:pt idx="3">
                  <c:v>4 February 2024</c:v>
                </c:pt>
                <c:pt idx="4">
                  <c:v>5 February 2024</c:v>
                </c:pt>
                <c:pt idx="5">
                  <c:v>6 February 2024</c:v>
                </c:pt>
                <c:pt idx="6">
                  <c:v>7 February 2024</c:v>
                </c:pt>
                <c:pt idx="7">
                  <c:v>8 February 2024</c:v>
                </c:pt>
                <c:pt idx="8">
                  <c:v>9 February 2024</c:v>
                </c:pt>
                <c:pt idx="9">
                  <c:v>10 February 2024</c:v>
                </c:pt>
                <c:pt idx="10">
                  <c:v>11 February 2024</c:v>
                </c:pt>
                <c:pt idx="11">
                  <c:v>12 February 2024</c:v>
                </c:pt>
                <c:pt idx="12">
                  <c:v>13 February 2024</c:v>
                </c:pt>
                <c:pt idx="13">
                  <c:v>14 February 2024</c:v>
                </c:pt>
                <c:pt idx="14">
                  <c:v>15 February 2024</c:v>
                </c:pt>
                <c:pt idx="15">
                  <c:v>16 February 2024</c:v>
                </c:pt>
                <c:pt idx="16">
                  <c:v>17 February 2024</c:v>
                </c:pt>
                <c:pt idx="17">
                  <c:v>18 February 2024</c:v>
                </c:pt>
                <c:pt idx="18">
                  <c:v>19 February 2024</c:v>
                </c:pt>
                <c:pt idx="19">
                  <c:v>20 February 2024</c:v>
                </c:pt>
                <c:pt idx="20">
                  <c:v>21 February 2024</c:v>
                </c:pt>
                <c:pt idx="21">
                  <c:v>22 February 2024</c:v>
                </c:pt>
                <c:pt idx="22">
                  <c:v>23 February 2024</c:v>
                </c:pt>
                <c:pt idx="23">
                  <c:v>24 February 2024</c:v>
                </c:pt>
                <c:pt idx="24">
                  <c:v>25 February 2024</c:v>
                </c:pt>
                <c:pt idx="25">
                  <c:v>26 February 2024</c:v>
                </c:pt>
                <c:pt idx="26">
                  <c:v>27 February 2024</c:v>
                </c:pt>
                <c:pt idx="27">
                  <c:v>28 February 2024</c:v>
                </c:pt>
              </c:strCache>
            </c:strRef>
          </c:cat>
          <c:val>
            <c:numRef>
              <c:f>dataD!$B$2:$B$29</c:f>
              <c:numCache>
                <c:formatCode>General</c:formatCode>
                <c:ptCount val="28"/>
                <c:pt idx="0">
                  <c:v>1386958</c:v>
                </c:pt>
                <c:pt idx="1">
                  <c:v>1265555</c:v>
                </c:pt>
                <c:pt idx="2">
                  <c:v>1196059</c:v>
                </c:pt>
                <c:pt idx="3">
                  <c:v>1060831</c:v>
                </c:pt>
                <c:pt idx="4">
                  <c:v>914483</c:v>
                </c:pt>
                <c:pt idx="5">
                  <c:v>793750</c:v>
                </c:pt>
                <c:pt idx="6">
                  <c:v>762958</c:v>
                </c:pt>
                <c:pt idx="7">
                  <c:v>1051044</c:v>
                </c:pt>
                <c:pt idx="8">
                  <c:v>1166432</c:v>
                </c:pt>
                <c:pt idx="9">
                  <c:v>1242801</c:v>
                </c:pt>
                <c:pt idx="10">
                  <c:v>1262514</c:v>
                </c:pt>
                <c:pt idx="11">
                  <c:v>1330696</c:v>
                </c:pt>
                <c:pt idx="12">
                  <c:v>1221052</c:v>
                </c:pt>
                <c:pt idx="13">
                  <c:v>1146966</c:v>
                </c:pt>
                <c:pt idx="14">
                  <c:v>1406802</c:v>
                </c:pt>
                <c:pt idx="15">
                  <c:v>1329972</c:v>
                </c:pt>
                <c:pt idx="16">
                  <c:v>1164491</c:v>
                </c:pt>
                <c:pt idx="17">
                  <c:v>1069930</c:v>
                </c:pt>
                <c:pt idx="18">
                  <c:v>1081091</c:v>
                </c:pt>
                <c:pt idx="19">
                  <c:v>903451</c:v>
                </c:pt>
                <c:pt idx="20">
                  <c:v>795221</c:v>
                </c:pt>
                <c:pt idx="21">
                  <c:v>1053172</c:v>
                </c:pt>
                <c:pt idx="22">
                  <c:v>1028997</c:v>
                </c:pt>
                <c:pt idx="23">
                  <c:v>966384</c:v>
                </c:pt>
                <c:pt idx="24">
                  <c:v>904913</c:v>
                </c:pt>
                <c:pt idx="25">
                  <c:v>902043</c:v>
                </c:pt>
                <c:pt idx="26">
                  <c:v>815695</c:v>
                </c:pt>
                <c:pt idx="27">
                  <c:v>745845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0-4727-99B5-72A93253B334}"/>
            </c:ext>
          </c:extLst>
        </c:ser>
        <c:ser>
          <c:idx val="1"/>
          <c:order val="1"/>
          <c:tx>
            <c:v>Serie destagionalizzata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dataD!$A$2:$A$29</c:f>
              <c:strCache>
                <c:ptCount val="28"/>
                <c:pt idx="0">
                  <c:v>1 February 2024</c:v>
                </c:pt>
                <c:pt idx="1">
                  <c:v>2 February 2024</c:v>
                </c:pt>
                <c:pt idx="2">
                  <c:v>3 February 2024</c:v>
                </c:pt>
                <c:pt idx="3">
                  <c:v>4 February 2024</c:v>
                </c:pt>
                <c:pt idx="4">
                  <c:v>5 February 2024</c:v>
                </c:pt>
                <c:pt idx="5">
                  <c:v>6 February 2024</c:v>
                </c:pt>
                <c:pt idx="6">
                  <c:v>7 February 2024</c:v>
                </c:pt>
                <c:pt idx="7">
                  <c:v>8 February 2024</c:v>
                </c:pt>
                <c:pt idx="8">
                  <c:v>9 February 2024</c:v>
                </c:pt>
                <c:pt idx="9">
                  <c:v>10 February 2024</c:v>
                </c:pt>
                <c:pt idx="10">
                  <c:v>11 February 2024</c:v>
                </c:pt>
                <c:pt idx="11">
                  <c:v>12 February 2024</c:v>
                </c:pt>
                <c:pt idx="12">
                  <c:v>13 February 2024</c:v>
                </c:pt>
                <c:pt idx="13">
                  <c:v>14 February 2024</c:v>
                </c:pt>
                <c:pt idx="14">
                  <c:v>15 February 2024</c:v>
                </c:pt>
                <c:pt idx="15">
                  <c:v>16 February 2024</c:v>
                </c:pt>
                <c:pt idx="16">
                  <c:v>17 February 2024</c:v>
                </c:pt>
                <c:pt idx="17">
                  <c:v>18 February 2024</c:v>
                </c:pt>
                <c:pt idx="18">
                  <c:v>19 February 2024</c:v>
                </c:pt>
                <c:pt idx="19">
                  <c:v>20 February 2024</c:v>
                </c:pt>
                <c:pt idx="20">
                  <c:v>21 February 2024</c:v>
                </c:pt>
                <c:pt idx="21">
                  <c:v>22 February 2024</c:v>
                </c:pt>
                <c:pt idx="22">
                  <c:v>23 February 2024</c:v>
                </c:pt>
                <c:pt idx="23">
                  <c:v>24 February 2024</c:v>
                </c:pt>
                <c:pt idx="24">
                  <c:v>25 February 2024</c:v>
                </c:pt>
                <c:pt idx="25">
                  <c:v>26 February 2024</c:v>
                </c:pt>
                <c:pt idx="26">
                  <c:v>27 February 2024</c:v>
                </c:pt>
                <c:pt idx="27">
                  <c:v>28 February 2024</c:v>
                </c:pt>
              </c:strCache>
            </c:strRef>
          </c:cat>
          <c:val>
            <c:numRef>
              <c:f>'STAG-SOMMA0'!$L$3:$L$30</c:f>
              <c:numCache>
                <c:formatCode>General</c:formatCode>
                <c:ptCount val="28"/>
                <c:pt idx="0">
                  <c:v>1326969.9694610084</c:v>
                </c:pt>
                <c:pt idx="1">
                  <c:v>1203619.213092234</c:v>
                </c:pt>
                <c:pt idx="2">
                  <c:v>1128578.6195904324</c:v>
                </c:pt>
                <c:pt idx="3">
                  <c:v>1029090.2824574051</c:v>
                </c:pt>
                <c:pt idx="4">
                  <c:v>896766.70169315231</c:v>
                </c:pt>
                <c:pt idx="5">
                  <c:v>880107.07736238558</c:v>
                </c:pt>
                <c:pt idx="6">
                  <c:v>915462.13634338172</c:v>
                </c:pt>
                <c:pt idx="7">
                  <c:v>991055.96946100844</c:v>
                </c:pt>
                <c:pt idx="8">
                  <c:v>1104496.213092234</c:v>
                </c:pt>
                <c:pt idx="9">
                  <c:v>1175320.6195904324</c:v>
                </c:pt>
                <c:pt idx="10">
                  <c:v>1230773.2824574052</c:v>
                </c:pt>
                <c:pt idx="11">
                  <c:v>1312979.7016931523</c:v>
                </c:pt>
                <c:pt idx="12">
                  <c:v>1307409.0773623856</c:v>
                </c:pt>
                <c:pt idx="13">
                  <c:v>1299470.1363433818</c:v>
                </c:pt>
                <c:pt idx="14">
                  <c:v>1346813.9694610084</c:v>
                </c:pt>
                <c:pt idx="15">
                  <c:v>1268036.213092234</c:v>
                </c:pt>
                <c:pt idx="16">
                  <c:v>1097010.6195904324</c:v>
                </c:pt>
                <c:pt idx="17">
                  <c:v>1038189.2824574051</c:v>
                </c:pt>
                <c:pt idx="18">
                  <c:v>1063374.7016931523</c:v>
                </c:pt>
                <c:pt idx="19">
                  <c:v>989808.07736238558</c:v>
                </c:pt>
                <c:pt idx="20">
                  <c:v>947725.13634338172</c:v>
                </c:pt>
                <c:pt idx="21">
                  <c:v>993183.96946100844</c:v>
                </c:pt>
                <c:pt idx="22">
                  <c:v>967061.21309223399</c:v>
                </c:pt>
                <c:pt idx="23">
                  <c:v>898903.61959043238</c:v>
                </c:pt>
                <c:pt idx="24">
                  <c:v>873172.28245740512</c:v>
                </c:pt>
                <c:pt idx="25">
                  <c:v>884326.70169315231</c:v>
                </c:pt>
                <c:pt idx="26">
                  <c:v>902052.07736238558</c:v>
                </c:pt>
                <c:pt idx="27">
                  <c:v>898349.13634338172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A0-4727-99B5-72A93253B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237631"/>
        <c:axId val="1"/>
      </c:lineChart>
      <c:catAx>
        <c:axId val="1186237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7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8623763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810194778284281"/>
          <c:y val="7.8018995929443696E-2"/>
          <c:w val="0.27227517612929958"/>
          <c:h val="0.236092265943012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8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0040D9-63C1-4B65-A6E6-8998EE1AD145}">
  <sheetPr/>
  <sheetViews>
    <sheetView zoomScale="116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51734B-5A86-4483-ABC2-31EA5E8699FF}">
  <sheetPr/>
  <sheetViews>
    <sheetView zoomScale="116" workbookViewId="0"/>
  </sheetViews>
  <pageMargins left="0.75" right="0.75" top="1" bottom="1" header="0.5" footer="0.5"/>
  <headerFooter alignWithMargins="0"/>
  <drawing r:id="rId1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19050</xdr:rowOff>
    </xdr:from>
    <xdr:to>
      <xdr:col>5</xdr:col>
      <xdr:colOff>561975</xdr:colOff>
      <xdr:row>10</xdr:row>
      <xdr:rowOff>24774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EED5D328-E602-4DBF-FBAE-2474DEDC78B9}"/>
            </a:ext>
          </a:extLst>
        </xdr:cNvPr>
        <xdr:cNvSpPr txBox="1"/>
      </xdr:nvSpPr>
      <xdr:spPr>
        <a:xfrm>
          <a:off x="561975" y="962025"/>
          <a:ext cx="30480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it-IT" sz="1800"/>
            <a:t>PER IL TESTO DELL'ESERCIZIO</a:t>
          </a:r>
          <a:r>
            <a:rPr lang="it-IT" sz="1800" baseline="0"/>
            <a:t> V. PAGINE 133-134 DEL LIBRO</a:t>
          </a:r>
          <a:endParaRPr lang="it-IT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66</xdr:row>
      <xdr:rowOff>102870</xdr:rowOff>
    </xdr:from>
    <xdr:to>
      <xdr:col>10</xdr:col>
      <xdr:colOff>171450</xdr:colOff>
      <xdr:row>67</xdr:row>
      <xdr:rowOff>129540</xdr:rowOff>
    </xdr:to>
    <xdr:sp macro="" textlink="">
      <xdr:nvSpPr>
        <xdr:cNvPr id="2068" name="Line 1">
          <a:extLst>
            <a:ext uri="{FF2B5EF4-FFF2-40B4-BE49-F238E27FC236}">
              <a16:creationId xmlns:a16="http://schemas.microsoft.com/office/drawing/2014/main" id="{FF93B4F0-DA3D-99B6-7582-031CD7C01A89}"/>
            </a:ext>
          </a:extLst>
        </xdr:cNvPr>
        <xdr:cNvSpPr>
          <a:spLocks noChangeShapeType="1"/>
        </xdr:cNvSpPr>
      </xdr:nvSpPr>
      <xdr:spPr bwMode="auto">
        <a:xfrm flipV="1">
          <a:off x="7078980" y="10919460"/>
          <a:ext cx="419100" cy="182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96552" cy="5629603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4D3ACB8-6307-CFD3-B7AA-80F646A335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96552" cy="5629603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553D45D-6E2E-6D0B-668B-D78D261902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A969-F6C4-4634-88E3-E7D8B1507A33}">
  <dimension ref="B2"/>
  <sheetViews>
    <sheetView workbookViewId="0">
      <selection activeCell="B19" sqref="B19"/>
    </sheetView>
  </sheetViews>
  <sheetFormatPr defaultRowHeight="12.3" x14ac:dyDescent="0.4"/>
  <sheetData>
    <row r="2" spans="2:2" ht="23.1" x14ac:dyDescent="0.85">
      <c r="B2" s="20"/>
    </row>
  </sheetData>
  <phoneticPr fontId="1" type="noConversion"/>
  <pageMargins left="0.75" right="0.75" top="1" bottom="1" header="0.5" footer="0.5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2222-2505-4167-A753-2A187CAF4F6D}">
  <dimension ref="A1:AB69"/>
  <sheetViews>
    <sheetView topLeftCell="A14" zoomScale="130" workbookViewId="0">
      <selection sqref="A1:D29"/>
    </sheetView>
  </sheetViews>
  <sheetFormatPr defaultRowHeight="12.3" x14ac:dyDescent="0.4"/>
  <cols>
    <col min="1" max="1" width="33.83203125" customWidth="1"/>
    <col min="2" max="2" width="12.5546875" bestFit="1" customWidth="1"/>
    <col min="3" max="3" width="8.5546875" customWidth="1"/>
    <col min="4" max="9" width="9.27734375" bestFit="1" customWidth="1"/>
    <col min="12" max="12" width="12" customWidth="1"/>
    <col min="13" max="13" width="2.5546875" customWidth="1"/>
    <col min="14" max="14" width="3.83203125" customWidth="1"/>
    <col min="21" max="21" width="11.44140625" bestFit="1" customWidth="1"/>
    <col min="22" max="22" width="12.44140625" bestFit="1" customWidth="1"/>
    <col min="23" max="28" width="9.27734375" bestFit="1" customWidth="1"/>
  </cols>
  <sheetData>
    <row r="1" spans="1:28" x14ac:dyDescent="0.4">
      <c r="A1" t="s">
        <v>57</v>
      </c>
      <c r="B1" s="21" t="s">
        <v>92</v>
      </c>
      <c r="C1" s="6" t="s">
        <v>49</v>
      </c>
      <c r="D1" s="8" t="s">
        <v>55</v>
      </c>
      <c r="E1" s="6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  <c r="K1" s="14" t="s">
        <v>56</v>
      </c>
      <c r="L1" s="17" t="s">
        <v>41</v>
      </c>
    </row>
    <row r="2" spans="1:28" x14ac:dyDescent="0.4">
      <c r="A2" s="21" t="s">
        <v>93</v>
      </c>
      <c r="B2">
        <v>1386958</v>
      </c>
      <c r="C2" s="9">
        <v>1</v>
      </c>
      <c r="D2" s="10">
        <v>20.399999999999999</v>
      </c>
      <c r="E2" s="9">
        <v>1</v>
      </c>
      <c r="F2" s="5">
        <v>0</v>
      </c>
      <c r="G2" s="5">
        <v>0</v>
      </c>
      <c r="H2" s="5">
        <v>0</v>
      </c>
      <c r="I2" s="5">
        <v>0</v>
      </c>
      <c r="J2" s="10">
        <v>0</v>
      </c>
      <c r="K2" s="15">
        <v>1</v>
      </c>
      <c r="L2">
        <f t="array" ref="L2:L29">MMULT(C2:J29,P5:P12)</f>
        <v>1370304.0023533739</v>
      </c>
      <c r="U2">
        <f t="array" ref="U2:AB6">LINEST(B2:B29,D2:J29,0,1)</f>
        <v>121487.08846039344</v>
      </c>
      <c r="V2">
        <v>220559.69104267878</v>
      </c>
      <c r="W2">
        <v>233701.62091014095</v>
      </c>
      <c r="X2">
        <v>261204.71633978758</v>
      </c>
      <c r="Y2">
        <v>240069.47733161852</v>
      </c>
      <c r="Z2">
        <v>230767.6428938031</v>
      </c>
      <c r="AA2">
        <v>57690.93510050491</v>
      </c>
      <c r="AB2">
        <v>0</v>
      </c>
    </row>
    <row r="3" spans="1:28" x14ac:dyDescent="0.4">
      <c r="A3" t="s">
        <v>65</v>
      </c>
      <c r="B3">
        <v>1265555</v>
      </c>
      <c r="C3" s="9">
        <v>1</v>
      </c>
      <c r="D3" s="10">
        <v>16.8</v>
      </c>
      <c r="E3" s="9">
        <v>0</v>
      </c>
      <c r="F3" s="5">
        <v>1</v>
      </c>
      <c r="G3" s="5">
        <v>0</v>
      </c>
      <c r="H3" s="5">
        <v>0</v>
      </c>
      <c r="I3" s="5">
        <v>0</v>
      </c>
      <c r="J3" s="10">
        <v>0</v>
      </c>
      <c r="K3" s="15">
        <v>2</v>
      </c>
      <c r="L3">
        <v>1206923.882038008</v>
      </c>
      <c r="U3">
        <v>47676.327685786855</v>
      </c>
      <c r="V3">
        <v>48300.859015621339</v>
      </c>
      <c r="W3">
        <v>48412.145695744133</v>
      </c>
      <c r="X3">
        <v>49465.815507403808</v>
      </c>
      <c r="Y3">
        <v>51529.81955059676</v>
      </c>
      <c r="Z3">
        <v>52532.520237382872</v>
      </c>
      <c r="AA3">
        <v>2221.6392429676698</v>
      </c>
      <c r="AB3" t="e">
        <v>#N/A</v>
      </c>
    </row>
    <row r="4" spans="1:28" x14ac:dyDescent="0.4">
      <c r="A4" t="s">
        <v>66</v>
      </c>
      <c r="B4">
        <v>1196059</v>
      </c>
      <c r="C4" s="9">
        <v>1</v>
      </c>
      <c r="D4" s="10">
        <v>15.8</v>
      </c>
      <c r="E4" s="9">
        <v>0</v>
      </c>
      <c r="F4" s="5">
        <v>0</v>
      </c>
      <c r="G4" s="5">
        <v>1</v>
      </c>
      <c r="H4" s="5">
        <v>0</v>
      </c>
      <c r="I4" s="5">
        <v>0</v>
      </c>
      <c r="J4" s="10">
        <v>0</v>
      </c>
      <c r="K4" s="15">
        <v>3</v>
      </c>
      <c r="L4">
        <v>1166544.0653497707</v>
      </c>
      <c r="P4" s="4" t="s">
        <v>40</v>
      </c>
      <c r="U4">
        <v>0.99671622368819157</v>
      </c>
      <c r="V4">
        <v>71979.054369385092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</row>
    <row r="5" spans="1:28" x14ac:dyDescent="0.4">
      <c r="A5" t="s">
        <v>67</v>
      </c>
      <c r="B5">
        <v>1060831</v>
      </c>
      <c r="C5" s="9">
        <v>1</v>
      </c>
      <c r="D5" s="10">
        <v>13</v>
      </c>
      <c r="E5" s="9">
        <v>0</v>
      </c>
      <c r="F5" s="5">
        <v>0</v>
      </c>
      <c r="G5" s="5">
        <v>0</v>
      </c>
      <c r="H5" s="5">
        <v>1</v>
      </c>
      <c r="I5" s="5">
        <v>0</v>
      </c>
      <c r="J5" s="10">
        <v>0</v>
      </c>
      <c r="K5" s="15">
        <v>4</v>
      </c>
      <c r="L5">
        <v>1002216.0539506887</v>
      </c>
      <c r="N5">
        <v>8</v>
      </c>
      <c r="O5" t="str">
        <f t="shared" ref="O5:O12" si="0">INDEX(B$42:I$42,1,N5)</f>
        <v>Intercetta</v>
      </c>
      <c r="P5">
        <f t="shared" ref="P5:P12" si="1">INDEX(B$43:I$43,1,N5)</f>
        <v>220953.86759420499</v>
      </c>
      <c r="U5">
        <v>910.58232569376753</v>
      </c>
      <c r="V5">
        <v>21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</row>
    <row r="6" spans="1:28" x14ac:dyDescent="0.4">
      <c r="A6" t="s">
        <v>68</v>
      </c>
      <c r="B6">
        <v>914483</v>
      </c>
      <c r="C6" s="9">
        <v>1</v>
      </c>
      <c r="D6" s="10">
        <v>9.5</v>
      </c>
      <c r="E6" s="9">
        <v>0</v>
      </c>
      <c r="F6" s="5">
        <v>0</v>
      </c>
      <c r="G6" s="5">
        <v>0</v>
      </c>
      <c r="H6" s="5">
        <v>0</v>
      </c>
      <c r="I6" s="5">
        <v>1</v>
      </c>
      <c r="J6" s="10">
        <v>0</v>
      </c>
      <c r="K6" s="15">
        <v>5</v>
      </c>
      <c r="L6">
        <v>827456.19904980506</v>
      </c>
      <c r="N6">
        <v>7</v>
      </c>
      <c r="O6" t="str">
        <f t="shared" si="0"/>
        <v>Temp</v>
      </c>
      <c r="P6">
        <f t="shared" si="1"/>
        <v>45924.410190039009</v>
      </c>
      <c r="U6">
        <v>33023988928399.871</v>
      </c>
      <c r="V6">
        <v>108800669626.12878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</row>
    <row r="7" spans="1:28" x14ac:dyDescent="0.4">
      <c r="A7" t="s">
        <v>69</v>
      </c>
      <c r="B7">
        <v>793750</v>
      </c>
      <c r="C7" s="9">
        <v>1</v>
      </c>
      <c r="D7" s="10">
        <v>10.5</v>
      </c>
      <c r="E7" s="9">
        <v>0</v>
      </c>
      <c r="F7" s="5">
        <v>0</v>
      </c>
      <c r="G7" s="5">
        <v>0</v>
      </c>
      <c r="H7" s="5">
        <v>0</v>
      </c>
      <c r="I7" s="5">
        <v>0</v>
      </c>
      <c r="J7" s="10">
        <v>1</v>
      </c>
      <c r="K7" s="15">
        <v>6</v>
      </c>
      <c r="L7">
        <v>769307.23357061076</v>
      </c>
      <c r="N7">
        <v>6</v>
      </c>
      <c r="O7" t="str">
        <f t="shared" si="0"/>
        <v>gio</v>
      </c>
      <c r="P7">
        <f t="shared" si="1"/>
        <v>212492.16688237325</v>
      </c>
    </row>
    <row r="8" spans="1:28" x14ac:dyDescent="0.4">
      <c r="A8" t="s">
        <v>70</v>
      </c>
      <c r="B8">
        <v>762958</v>
      </c>
      <c r="C8" s="9">
        <v>1</v>
      </c>
      <c r="D8" s="10">
        <v>12.5</v>
      </c>
      <c r="E8" s="9">
        <v>0</v>
      </c>
      <c r="F8" s="5">
        <v>0</v>
      </c>
      <c r="G8" s="5">
        <v>0</v>
      </c>
      <c r="H8" s="5">
        <v>0</v>
      </c>
      <c r="I8" s="5">
        <v>0</v>
      </c>
      <c r="J8" s="10">
        <v>0</v>
      </c>
      <c r="K8" s="15">
        <v>7</v>
      </c>
      <c r="L8">
        <v>795008.99496969255</v>
      </c>
      <c r="N8">
        <v>5</v>
      </c>
      <c r="O8" t="str">
        <f t="shared" si="0"/>
        <v>ven</v>
      </c>
      <c r="P8">
        <f t="shared" si="1"/>
        <v>214439.92325114773</v>
      </c>
    </row>
    <row r="9" spans="1:28" x14ac:dyDescent="0.4">
      <c r="A9" t="s">
        <v>71</v>
      </c>
      <c r="B9">
        <v>1051044</v>
      </c>
      <c r="C9" s="9">
        <v>1</v>
      </c>
      <c r="D9" s="10">
        <v>14.5</v>
      </c>
      <c r="E9" s="9">
        <v>1</v>
      </c>
      <c r="F9" s="5">
        <v>0</v>
      </c>
      <c r="G9" s="5">
        <v>0</v>
      </c>
      <c r="H9" s="5">
        <v>0</v>
      </c>
      <c r="I9" s="5">
        <v>0</v>
      </c>
      <c r="J9" s="10">
        <v>0</v>
      </c>
      <c r="K9" s="15">
        <v>8</v>
      </c>
      <c r="L9">
        <v>1099349.9822321439</v>
      </c>
      <c r="N9">
        <v>4</v>
      </c>
      <c r="O9" t="str">
        <f t="shared" si="0"/>
        <v>sab</v>
      </c>
      <c r="P9">
        <f t="shared" si="1"/>
        <v>219984.5167529493</v>
      </c>
    </row>
    <row r="10" spans="1:28" x14ac:dyDescent="0.4">
      <c r="A10" t="s">
        <v>72</v>
      </c>
      <c r="B10">
        <v>1166432</v>
      </c>
      <c r="C10" s="9">
        <v>1</v>
      </c>
      <c r="D10" s="10">
        <v>18.100000000000001</v>
      </c>
      <c r="E10" s="9">
        <v>0</v>
      </c>
      <c r="F10" s="5">
        <v>1</v>
      </c>
      <c r="G10" s="5">
        <v>0</v>
      </c>
      <c r="H10" s="5">
        <v>0</v>
      </c>
      <c r="I10" s="5">
        <v>0</v>
      </c>
      <c r="J10" s="10">
        <v>0</v>
      </c>
      <c r="K10" s="15">
        <v>9</v>
      </c>
      <c r="L10">
        <v>1266625.615285059</v>
      </c>
      <c r="N10">
        <v>3</v>
      </c>
      <c r="O10" t="str">
        <f t="shared" si="0"/>
        <v>dom</v>
      </c>
      <c r="P10">
        <f t="shared" si="1"/>
        <v>184244.85388597663</v>
      </c>
    </row>
    <row r="11" spans="1:28" x14ac:dyDescent="0.4">
      <c r="A11" t="s">
        <v>73</v>
      </c>
      <c r="B11">
        <v>1242801</v>
      </c>
      <c r="C11" s="9">
        <v>1</v>
      </c>
      <c r="D11" s="10">
        <v>18.600000000000001</v>
      </c>
      <c r="E11" s="9">
        <v>0</v>
      </c>
      <c r="F11" s="5">
        <v>0</v>
      </c>
      <c r="G11" s="5">
        <v>1</v>
      </c>
      <c r="H11" s="5">
        <v>0</v>
      </c>
      <c r="I11" s="5">
        <v>0</v>
      </c>
      <c r="J11" s="10">
        <v>0</v>
      </c>
      <c r="K11" s="15">
        <v>10</v>
      </c>
      <c r="L11">
        <v>1295132.4138818798</v>
      </c>
      <c r="N11">
        <v>2</v>
      </c>
      <c r="O11" t="str">
        <f t="shared" si="0"/>
        <v>lun</v>
      </c>
      <c r="P11">
        <f t="shared" si="1"/>
        <v>170220.43465022949</v>
      </c>
      <c r="R11">
        <f>P5+P9+P6*15</f>
        <v>1129804.5371977394</v>
      </c>
      <c r="S11">
        <f t="shared" ref="S11:S16" si="2">P7+P5</f>
        <v>433446.03447657824</v>
      </c>
    </row>
    <row r="12" spans="1:28" x14ac:dyDescent="0.4">
      <c r="A12" t="s">
        <v>74</v>
      </c>
      <c r="B12">
        <v>1262514</v>
      </c>
      <c r="C12" s="9">
        <v>1</v>
      </c>
      <c r="D12" s="10">
        <v>19.7</v>
      </c>
      <c r="E12" s="9">
        <v>0</v>
      </c>
      <c r="F12" s="5">
        <v>0</v>
      </c>
      <c r="G12" s="5">
        <v>0</v>
      </c>
      <c r="H12" s="5">
        <v>1</v>
      </c>
      <c r="I12" s="5">
        <v>0</v>
      </c>
      <c r="J12" s="10">
        <v>0</v>
      </c>
      <c r="K12" s="15">
        <v>11</v>
      </c>
      <c r="L12">
        <v>1309909.60222395</v>
      </c>
      <c r="N12">
        <v>1</v>
      </c>
      <c r="O12" t="str">
        <f t="shared" si="0"/>
        <v>mar</v>
      </c>
      <c r="P12">
        <f t="shared" si="1"/>
        <v>66147.058980996109</v>
      </c>
      <c r="S12">
        <f t="shared" si="2"/>
        <v>260364.33344118675</v>
      </c>
    </row>
    <row r="13" spans="1:28" x14ac:dyDescent="0.4">
      <c r="A13" t="s">
        <v>75</v>
      </c>
      <c r="B13">
        <v>1330696</v>
      </c>
      <c r="C13" s="9">
        <v>1</v>
      </c>
      <c r="D13" s="10">
        <v>20.100000000000001</v>
      </c>
      <c r="E13" s="9">
        <v>0</v>
      </c>
      <c r="F13" s="5">
        <v>0</v>
      </c>
      <c r="G13" s="5">
        <v>0</v>
      </c>
      <c r="H13" s="5">
        <v>0</v>
      </c>
      <c r="I13" s="5">
        <v>1</v>
      </c>
      <c r="J13" s="10">
        <v>0</v>
      </c>
      <c r="K13" s="15">
        <v>12</v>
      </c>
      <c r="L13">
        <v>1314254.9470642186</v>
      </c>
      <c r="S13">
        <f t="shared" si="2"/>
        <v>432476.68363532255</v>
      </c>
    </row>
    <row r="14" spans="1:28" x14ac:dyDescent="0.4">
      <c r="A14" t="s">
        <v>76</v>
      </c>
      <c r="B14">
        <v>1221052</v>
      </c>
      <c r="C14" s="9">
        <v>1</v>
      </c>
      <c r="D14" s="10">
        <v>20.100000000000001</v>
      </c>
      <c r="E14" s="9">
        <v>0</v>
      </c>
      <c r="F14" s="5">
        <v>0</v>
      </c>
      <c r="G14" s="5">
        <v>0</v>
      </c>
      <c r="H14" s="5">
        <v>0</v>
      </c>
      <c r="I14" s="5">
        <v>0</v>
      </c>
      <c r="J14" s="10">
        <v>1</v>
      </c>
      <c r="K14" s="15">
        <v>13</v>
      </c>
      <c r="L14">
        <v>1210181.5713949851</v>
      </c>
      <c r="S14">
        <f t="shared" si="2"/>
        <v>398684.77713712433</v>
      </c>
    </row>
    <row r="15" spans="1:28" x14ac:dyDescent="0.4">
      <c r="A15" t="s">
        <v>77</v>
      </c>
      <c r="B15">
        <v>1146966</v>
      </c>
      <c r="C15" s="9">
        <v>1</v>
      </c>
      <c r="D15" s="10">
        <v>19.100000000000001</v>
      </c>
      <c r="E15" s="9">
        <v>0</v>
      </c>
      <c r="F15" s="5">
        <v>0</v>
      </c>
      <c r="G15" s="5">
        <v>0</v>
      </c>
      <c r="H15" s="5">
        <v>0</v>
      </c>
      <c r="I15" s="5">
        <v>0</v>
      </c>
      <c r="J15" s="10">
        <v>0</v>
      </c>
      <c r="K15" s="15">
        <v>14</v>
      </c>
      <c r="L15">
        <v>1098110.1022239502</v>
      </c>
      <c r="S15">
        <f t="shared" si="2"/>
        <v>390204.9514031788</v>
      </c>
    </row>
    <row r="16" spans="1:28" x14ac:dyDescent="0.4">
      <c r="A16" t="s">
        <v>78</v>
      </c>
      <c r="B16">
        <v>1406802</v>
      </c>
      <c r="C16" s="9">
        <v>1</v>
      </c>
      <c r="D16" s="10">
        <v>20.5</v>
      </c>
      <c r="E16" s="9">
        <v>1</v>
      </c>
      <c r="F16" s="5">
        <v>0</v>
      </c>
      <c r="G16" s="5">
        <v>0</v>
      </c>
      <c r="H16" s="5">
        <v>0</v>
      </c>
      <c r="I16" s="5">
        <v>0</v>
      </c>
      <c r="J16" s="10">
        <v>0</v>
      </c>
      <c r="K16" s="15">
        <v>15</v>
      </c>
      <c r="L16">
        <v>1374896.4433723779</v>
      </c>
      <c r="S16">
        <f t="shared" si="2"/>
        <v>250391.91286697274</v>
      </c>
    </row>
    <row r="17" spans="1:19" x14ac:dyDescent="0.4">
      <c r="A17" t="s">
        <v>79</v>
      </c>
      <c r="B17">
        <v>1329972</v>
      </c>
      <c r="C17" s="9">
        <v>1</v>
      </c>
      <c r="D17" s="10">
        <v>18.7</v>
      </c>
      <c r="E17" s="9">
        <v>0</v>
      </c>
      <c r="F17" s="5">
        <v>1</v>
      </c>
      <c r="G17" s="5">
        <v>0</v>
      </c>
      <c r="H17" s="5">
        <v>0</v>
      </c>
      <c r="I17" s="5">
        <v>0</v>
      </c>
      <c r="J17" s="10">
        <v>0</v>
      </c>
      <c r="K17" s="15">
        <v>16</v>
      </c>
      <c r="L17">
        <v>1294180.2613990824</v>
      </c>
      <c r="S17">
        <f>P18+P11</f>
        <v>170220.43465022949</v>
      </c>
    </row>
    <row r="18" spans="1:19" x14ac:dyDescent="0.4">
      <c r="A18" t="s">
        <v>80</v>
      </c>
      <c r="B18">
        <v>1164491</v>
      </c>
      <c r="C18" s="9">
        <v>1</v>
      </c>
      <c r="D18" s="10">
        <v>14.2</v>
      </c>
      <c r="E18" s="9">
        <v>0</v>
      </c>
      <c r="F18" s="5">
        <v>0</v>
      </c>
      <c r="G18" s="5">
        <v>1</v>
      </c>
      <c r="H18" s="5">
        <v>0</v>
      </c>
      <c r="I18" s="5">
        <v>0</v>
      </c>
      <c r="J18" s="10">
        <v>0</v>
      </c>
      <c r="K18" s="15">
        <v>17</v>
      </c>
      <c r="L18">
        <v>1093065.0090457082</v>
      </c>
    </row>
    <row r="19" spans="1:19" x14ac:dyDescent="0.4">
      <c r="A19" t="s">
        <v>81</v>
      </c>
      <c r="B19">
        <v>1069930</v>
      </c>
      <c r="C19" s="9">
        <v>1</v>
      </c>
      <c r="D19" s="10">
        <v>13.9</v>
      </c>
      <c r="E19" s="9">
        <v>0</v>
      </c>
      <c r="F19" s="5">
        <v>0</v>
      </c>
      <c r="G19" s="5">
        <v>0</v>
      </c>
      <c r="H19" s="5">
        <v>1</v>
      </c>
      <c r="I19" s="5">
        <v>0</v>
      </c>
      <c r="J19" s="10">
        <v>0</v>
      </c>
      <c r="K19" s="15">
        <v>18</v>
      </c>
      <c r="L19">
        <v>1043548.0231217238</v>
      </c>
    </row>
    <row r="20" spans="1:19" x14ac:dyDescent="0.4">
      <c r="A20" t="s">
        <v>82</v>
      </c>
      <c r="B20">
        <v>1081091</v>
      </c>
      <c r="C20" s="9">
        <v>1</v>
      </c>
      <c r="D20" s="10">
        <v>15.5</v>
      </c>
      <c r="E20" s="9">
        <v>0</v>
      </c>
      <c r="F20" s="5">
        <v>0</v>
      </c>
      <c r="G20" s="5">
        <v>0</v>
      </c>
      <c r="H20" s="5">
        <v>0</v>
      </c>
      <c r="I20" s="5">
        <v>1</v>
      </c>
      <c r="J20" s="10">
        <v>0</v>
      </c>
      <c r="K20" s="15">
        <v>19</v>
      </c>
      <c r="L20">
        <v>1103002.6601900391</v>
      </c>
    </row>
    <row r="21" spans="1:19" x14ac:dyDescent="0.4">
      <c r="A21" t="s">
        <v>83</v>
      </c>
      <c r="B21">
        <v>903451</v>
      </c>
      <c r="C21" s="9">
        <v>1</v>
      </c>
      <c r="D21" s="10">
        <v>13.2</v>
      </c>
      <c r="E21" s="9">
        <v>0</v>
      </c>
      <c r="F21" s="5">
        <v>0</v>
      </c>
      <c r="G21" s="5">
        <v>0</v>
      </c>
      <c r="H21" s="5">
        <v>0</v>
      </c>
      <c r="I21" s="5">
        <v>0</v>
      </c>
      <c r="J21" s="10">
        <v>1</v>
      </c>
      <c r="K21" s="15">
        <v>20</v>
      </c>
      <c r="L21">
        <v>893303.14108371595</v>
      </c>
    </row>
    <row r="22" spans="1:19" x14ac:dyDescent="0.4">
      <c r="A22" t="s">
        <v>84</v>
      </c>
      <c r="B22">
        <v>795221</v>
      </c>
      <c r="C22" s="9">
        <v>1</v>
      </c>
      <c r="D22" s="10">
        <v>12.5</v>
      </c>
      <c r="E22" s="9">
        <v>0</v>
      </c>
      <c r="F22" s="5">
        <v>0</v>
      </c>
      <c r="G22" s="5">
        <v>0</v>
      </c>
      <c r="H22" s="5">
        <v>0</v>
      </c>
      <c r="I22" s="5">
        <v>0</v>
      </c>
      <c r="J22" s="10">
        <v>0</v>
      </c>
      <c r="K22" s="15">
        <v>21</v>
      </c>
      <c r="L22">
        <v>795008.99496969255</v>
      </c>
    </row>
    <row r="23" spans="1:19" x14ac:dyDescent="0.4">
      <c r="A23" t="s">
        <v>85</v>
      </c>
      <c r="B23">
        <v>1053172</v>
      </c>
      <c r="C23" s="9">
        <v>1</v>
      </c>
      <c r="D23" s="10">
        <v>13.5</v>
      </c>
      <c r="E23" s="9">
        <v>1</v>
      </c>
      <c r="F23" s="5">
        <v>0</v>
      </c>
      <c r="G23" s="5">
        <v>0</v>
      </c>
      <c r="H23" s="5">
        <v>0</v>
      </c>
      <c r="I23" s="5">
        <v>0</v>
      </c>
      <c r="J23" s="10">
        <v>0</v>
      </c>
      <c r="K23" s="15">
        <v>22</v>
      </c>
      <c r="L23">
        <v>1053425.5720421048</v>
      </c>
    </row>
    <row r="24" spans="1:19" x14ac:dyDescent="0.4">
      <c r="A24" t="s">
        <v>86</v>
      </c>
      <c r="B24">
        <v>1028997</v>
      </c>
      <c r="C24" s="9">
        <v>1</v>
      </c>
      <c r="D24" s="10">
        <v>12.8</v>
      </c>
      <c r="E24" s="9">
        <v>0</v>
      </c>
      <c r="F24" s="5">
        <v>1</v>
      </c>
      <c r="G24" s="5">
        <v>0</v>
      </c>
      <c r="H24" s="5">
        <v>0</v>
      </c>
      <c r="I24" s="5">
        <v>0</v>
      </c>
      <c r="J24" s="10">
        <v>0</v>
      </c>
      <c r="K24" s="15">
        <v>23</v>
      </c>
      <c r="L24">
        <v>1023226.241277852</v>
      </c>
    </row>
    <row r="25" spans="1:19" x14ac:dyDescent="0.4">
      <c r="A25" t="s">
        <v>87</v>
      </c>
      <c r="B25">
        <v>966384</v>
      </c>
      <c r="C25" s="9">
        <v>1</v>
      </c>
      <c r="D25" s="10">
        <v>12.5</v>
      </c>
      <c r="E25" s="9">
        <v>0</v>
      </c>
      <c r="F25" s="5">
        <v>0</v>
      </c>
      <c r="G25" s="5">
        <v>1</v>
      </c>
      <c r="H25" s="5">
        <v>0</v>
      </c>
      <c r="I25" s="5">
        <v>0</v>
      </c>
      <c r="J25" s="10">
        <v>0</v>
      </c>
      <c r="K25" s="15">
        <v>24</v>
      </c>
      <c r="L25">
        <v>1014993.5117226419</v>
      </c>
    </row>
    <row r="26" spans="1:19" x14ac:dyDescent="0.4">
      <c r="A26" t="s">
        <v>88</v>
      </c>
      <c r="B26">
        <v>904913</v>
      </c>
      <c r="C26" s="9">
        <v>1</v>
      </c>
      <c r="D26" s="10">
        <v>11.7</v>
      </c>
      <c r="E26" s="9">
        <v>0</v>
      </c>
      <c r="F26" s="5">
        <v>0</v>
      </c>
      <c r="G26" s="5">
        <v>0</v>
      </c>
      <c r="H26" s="5">
        <v>1</v>
      </c>
      <c r="I26" s="5">
        <v>0</v>
      </c>
      <c r="J26" s="10">
        <v>0</v>
      </c>
      <c r="K26" s="15">
        <v>25</v>
      </c>
      <c r="L26">
        <v>942514.3207036379</v>
      </c>
    </row>
    <row r="27" spans="1:19" x14ac:dyDescent="0.4">
      <c r="A27" t="s">
        <v>89</v>
      </c>
      <c r="B27">
        <v>902043</v>
      </c>
      <c r="C27" s="9">
        <v>1</v>
      </c>
      <c r="D27" s="10">
        <v>12.9</v>
      </c>
      <c r="E27" s="9">
        <v>0</v>
      </c>
      <c r="F27" s="5">
        <v>0</v>
      </c>
      <c r="G27" s="5">
        <v>0</v>
      </c>
      <c r="H27" s="5">
        <v>0</v>
      </c>
      <c r="I27" s="5">
        <v>1</v>
      </c>
      <c r="J27" s="10">
        <v>0</v>
      </c>
      <c r="K27" s="15">
        <v>26</v>
      </c>
      <c r="L27">
        <v>983599.19369593775</v>
      </c>
    </row>
    <row r="28" spans="1:19" x14ac:dyDescent="0.4">
      <c r="A28" t="s">
        <v>90</v>
      </c>
      <c r="B28">
        <v>815695</v>
      </c>
      <c r="C28" s="9">
        <v>1</v>
      </c>
      <c r="D28" s="10">
        <v>12.5</v>
      </c>
      <c r="E28" s="9">
        <v>0</v>
      </c>
      <c r="F28" s="5">
        <v>0</v>
      </c>
      <c r="G28" s="5">
        <v>0</v>
      </c>
      <c r="H28" s="5">
        <v>0</v>
      </c>
      <c r="I28" s="5">
        <v>0</v>
      </c>
      <c r="J28" s="10">
        <v>1</v>
      </c>
      <c r="K28" s="15">
        <v>27</v>
      </c>
      <c r="L28">
        <v>861156.05395068869</v>
      </c>
    </row>
    <row r="29" spans="1:19" x14ac:dyDescent="0.4">
      <c r="A29" t="s">
        <v>91</v>
      </c>
      <c r="B29">
        <v>745845</v>
      </c>
      <c r="C29" s="11">
        <v>1</v>
      </c>
      <c r="D29" s="13">
        <v>11.8</v>
      </c>
      <c r="E29" s="11">
        <v>0</v>
      </c>
      <c r="F29" s="12">
        <v>0</v>
      </c>
      <c r="G29" s="12">
        <v>0</v>
      </c>
      <c r="H29" s="12">
        <v>0</v>
      </c>
      <c r="I29" s="12">
        <v>0</v>
      </c>
      <c r="J29" s="13">
        <v>0</v>
      </c>
      <c r="K29" s="16">
        <v>28</v>
      </c>
      <c r="L29">
        <v>762861.90783666528</v>
      </c>
    </row>
    <row r="30" spans="1:19" x14ac:dyDescent="0.4">
      <c r="A30" s="5"/>
      <c r="B30" s="5">
        <f>SUM(B2:B29)</f>
        <v>29970106</v>
      </c>
      <c r="C30" s="5"/>
      <c r="L30">
        <f>SUM(L2:L29)</f>
        <v>29970106</v>
      </c>
    </row>
    <row r="31" spans="1:19" x14ac:dyDescent="0.4">
      <c r="A31" s="5"/>
      <c r="B31" s="17">
        <v>9</v>
      </c>
      <c r="C31" s="17">
        <v>8</v>
      </c>
      <c r="D31" s="17">
        <v>7</v>
      </c>
      <c r="E31" s="17">
        <v>6</v>
      </c>
      <c r="F31" s="17">
        <v>5</v>
      </c>
      <c r="G31" s="17">
        <v>4</v>
      </c>
      <c r="H31" s="17">
        <v>3</v>
      </c>
      <c r="I31" s="17">
        <v>2</v>
      </c>
      <c r="J31" s="17">
        <v>1</v>
      </c>
    </row>
    <row r="32" spans="1:19" x14ac:dyDescent="0.4">
      <c r="B32" t="str">
        <f>INDEX($C1:$K1,1,B31)</f>
        <v>Trend</v>
      </c>
      <c r="C32" t="str">
        <f t="shared" ref="C32:J32" si="3">INDEX($C1:$K1,1,C31)</f>
        <v>mar</v>
      </c>
      <c r="D32" t="str">
        <f t="shared" si="3"/>
        <v>lun</v>
      </c>
      <c r="E32" t="str">
        <f t="shared" si="3"/>
        <v>dom</v>
      </c>
      <c r="F32" t="str">
        <f t="shared" si="3"/>
        <v>sab</v>
      </c>
      <c r="G32" t="str">
        <f t="shared" si="3"/>
        <v>ven</v>
      </c>
      <c r="H32" t="str">
        <f t="shared" si="3"/>
        <v>gio</v>
      </c>
      <c r="I32" t="str">
        <f t="shared" si="3"/>
        <v>Temp</v>
      </c>
      <c r="J32" t="str">
        <f t="shared" si="3"/>
        <v>Intercetta</v>
      </c>
    </row>
    <row r="33" spans="1:12" ht="17.399999999999999" x14ac:dyDescent="0.55000000000000004">
      <c r="B33">
        <f t="array" ref="B33:J37">LINEST(B2:B29,D2:K29,1,1)</f>
        <v>-2382.8200175709007</v>
      </c>
      <c r="C33">
        <v>63932.280368029482</v>
      </c>
      <c r="D33">
        <v>166337.0119892596</v>
      </c>
      <c r="E33">
        <v>178104.642260889</v>
      </c>
      <c r="F33">
        <v>212637.77494251987</v>
      </c>
      <c r="G33">
        <v>206936.91003415242</v>
      </c>
      <c r="H33">
        <v>203656.59242658303</v>
      </c>
      <c r="I33">
        <v>44243.996143997421</v>
      </c>
      <c r="J33">
        <v>286137.00419512682</v>
      </c>
      <c r="L33" s="3" t="s">
        <v>42</v>
      </c>
    </row>
    <row r="34" spans="1:12" x14ac:dyDescent="0.4">
      <c r="B34">
        <v>1288.3013810111458</v>
      </c>
      <c r="C34">
        <v>36248.141302834854</v>
      </c>
      <c r="D34">
        <v>36324.90861709063</v>
      </c>
      <c r="E34">
        <v>36427.137802408521</v>
      </c>
      <c r="F34">
        <v>36670.082355111736</v>
      </c>
      <c r="G34">
        <v>37365.944841370183</v>
      </c>
      <c r="H34">
        <v>37927.218422890401</v>
      </c>
      <c r="I34">
        <v>3255.9626277785319</v>
      </c>
      <c r="J34">
        <v>61704.394409941771</v>
      </c>
    </row>
    <row r="35" spans="1:12" x14ac:dyDescent="0.4">
      <c r="A35" t="s">
        <v>33</v>
      </c>
      <c r="B35">
        <v>0.95268217559613144</v>
      </c>
      <c r="C35">
        <v>51232.726032980368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</row>
    <row r="36" spans="1:12" ht="17.399999999999999" x14ac:dyDescent="0.55000000000000004">
      <c r="A36" t="s">
        <v>34</v>
      </c>
      <c r="B36">
        <v>47.817502083967852</v>
      </c>
      <c r="C36">
        <v>19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L36" s="3" t="s">
        <v>48</v>
      </c>
    </row>
    <row r="37" spans="1:12" x14ac:dyDescent="0.4">
      <c r="B37">
        <v>1004088058363.219</v>
      </c>
      <c r="C37">
        <v>49871052118.638062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</row>
    <row r="39" spans="1:12" x14ac:dyDescent="0.4">
      <c r="A39" t="s">
        <v>58</v>
      </c>
      <c r="B39">
        <f>B33/B34</f>
        <v>-1.8495827550077628</v>
      </c>
      <c r="C39">
        <f t="shared" ref="C39:I39" si="4">C33/C34</f>
        <v>1.7637395482959435</v>
      </c>
      <c r="D39">
        <f t="shared" si="4"/>
        <v>4.5791446784534822</v>
      </c>
      <c r="E39">
        <f t="shared" si="4"/>
        <v>4.8893394596902127</v>
      </c>
      <c r="F39">
        <f t="shared" si="4"/>
        <v>5.7986718678006621</v>
      </c>
      <c r="G39">
        <f t="shared" si="4"/>
        <v>5.5381152788364547</v>
      </c>
      <c r="H39">
        <f t="shared" si="4"/>
        <v>5.3696685624503679</v>
      </c>
      <c r="I39">
        <f t="shared" si="4"/>
        <v>13.588606873594271</v>
      </c>
      <c r="J39">
        <f>J33/J34</f>
        <v>4.6372224690211787</v>
      </c>
      <c r="L39" t="s">
        <v>43</v>
      </c>
    </row>
    <row r="40" spans="1:12" x14ac:dyDescent="0.4">
      <c r="A40" t="s">
        <v>59</v>
      </c>
      <c r="B40" s="4">
        <f t="shared" ref="B40:I40" si="5">TDIST(ABS(B39),$C36,2)</f>
        <v>7.9992071719027419E-2</v>
      </c>
      <c r="C40">
        <f t="shared" si="5"/>
        <v>9.3850052298200898E-2</v>
      </c>
      <c r="D40">
        <f t="shared" si="5"/>
        <v>2.0491413827452895E-4</v>
      </c>
      <c r="E40">
        <f t="shared" si="5"/>
        <v>1.0183771051177785E-4</v>
      </c>
      <c r="F40">
        <f t="shared" si="5"/>
        <v>1.3801748493578365E-5</v>
      </c>
      <c r="G40">
        <f t="shared" si="5"/>
        <v>2.4248884121332293E-5</v>
      </c>
      <c r="H40">
        <f t="shared" si="5"/>
        <v>3.505193190634603E-5</v>
      </c>
      <c r="I40">
        <f t="shared" si="5"/>
        <v>3.0886336485442582E-11</v>
      </c>
      <c r="J40">
        <f>TDIST(ABS(J39),$C36,2)</f>
        <v>1.7967829556974355E-4</v>
      </c>
    </row>
    <row r="42" spans="1:12" x14ac:dyDescent="0.4">
      <c r="B42" t="str">
        <f t="shared" ref="B42:H42" si="6">INDEX($C1:$K1,1,C31)</f>
        <v>mar</v>
      </c>
      <c r="C42" t="str">
        <f t="shared" si="6"/>
        <v>lun</v>
      </c>
      <c r="D42" t="str">
        <f t="shared" si="6"/>
        <v>dom</v>
      </c>
      <c r="E42" t="str">
        <f t="shared" si="6"/>
        <v>sab</v>
      </c>
      <c r="F42" t="str">
        <f t="shared" si="6"/>
        <v>ven</v>
      </c>
      <c r="G42" t="str">
        <f t="shared" si="6"/>
        <v>gio</v>
      </c>
      <c r="H42" t="str">
        <f t="shared" si="6"/>
        <v>Temp</v>
      </c>
      <c r="I42" t="str">
        <f>INDEX($C1:$K1,1,J31)</f>
        <v>Intercetta</v>
      </c>
    </row>
    <row r="43" spans="1:12" x14ac:dyDescent="0.4">
      <c r="A43" t="s">
        <v>50</v>
      </c>
      <c r="B43">
        <f t="array" ref="B43:I47">LINEST(B2:B29,D2:J29,1,1)</f>
        <v>66147.058980996109</v>
      </c>
      <c r="C43">
        <v>170220.43465022949</v>
      </c>
      <c r="D43">
        <v>184244.85388597663</v>
      </c>
      <c r="E43">
        <v>219984.5167529493</v>
      </c>
      <c r="F43">
        <v>214439.92325114773</v>
      </c>
      <c r="G43">
        <v>212492.16688237325</v>
      </c>
      <c r="H43">
        <v>45924.410190039009</v>
      </c>
      <c r="I43">
        <v>220953.86759420499</v>
      </c>
    </row>
    <row r="44" spans="1:12" x14ac:dyDescent="0.4">
      <c r="B44">
        <v>38358.420016329343</v>
      </c>
      <c r="C44">
        <v>38396.346485541246</v>
      </c>
      <c r="D44">
        <v>38408.385879526177</v>
      </c>
      <c r="E44">
        <v>38597.666261214486</v>
      </c>
      <c r="F44">
        <v>39329.054478504018</v>
      </c>
      <c r="G44">
        <v>39837.361054051347</v>
      </c>
      <c r="H44">
        <v>3310.4681246225991</v>
      </c>
      <c r="I44">
        <v>53628.050972854078</v>
      </c>
      <c r="L44" t="s">
        <v>46</v>
      </c>
    </row>
    <row r="45" spans="1:12" x14ac:dyDescent="0.4">
      <c r="B45">
        <v>0.9441625854542135</v>
      </c>
      <c r="C45">
        <v>54244.97753999156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</row>
    <row r="46" spans="1:12" x14ac:dyDescent="0.4">
      <c r="B46">
        <v>48.311824767602957</v>
      </c>
      <c r="C46">
        <v>20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L46" t="s">
        <v>51</v>
      </c>
    </row>
    <row r="47" spans="1:12" x14ac:dyDescent="0.4">
      <c r="B47">
        <v>995108758715.57324</v>
      </c>
      <c r="C47">
        <v>58850351766.283775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</row>
    <row r="49" spans="1:15" x14ac:dyDescent="0.4">
      <c r="B49" t="str">
        <f>INDEX($C1:$K1,1,I31)</f>
        <v>Temp</v>
      </c>
      <c r="C49" t="str">
        <f>INDEX($C1:$K1,1,J31)</f>
        <v>Intercetta</v>
      </c>
    </row>
    <row r="50" spans="1:15" ht="24.6" x14ac:dyDescent="0.4">
      <c r="A50" s="2" t="s">
        <v>60</v>
      </c>
      <c r="B50">
        <f t="array" ref="B50:C54">LINEST(B2:B29,D2:D29,1,1)</f>
        <v>51976.185564494481</v>
      </c>
      <c r="C50">
        <v>281622.31263022509</v>
      </c>
    </row>
    <row r="51" spans="1:15" x14ac:dyDescent="0.4">
      <c r="A51" s="2"/>
      <c r="B51">
        <v>5290.9700701178235</v>
      </c>
      <c r="C51">
        <v>82181.691057090473</v>
      </c>
    </row>
    <row r="52" spans="1:15" x14ac:dyDescent="0.4">
      <c r="A52" s="2"/>
      <c r="B52">
        <v>0.78775929278420986</v>
      </c>
      <c r="C52">
        <v>92755.474021585484</v>
      </c>
    </row>
    <row r="53" spans="1:15" x14ac:dyDescent="0.4">
      <c r="B53">
        <v>96.502418791722079</v>
      </c>
      <c r="C53">
        <v>26</v>
      </c>
    </row>
    <row r="54" spans="1:15" x14ac:dyDescent="0.4">
      <c r="B54">
        <v>830266083496.6626</v>
      </c>
      <c r="C54" s="18">
        <v>223693026985.19449</v>
      </c>
      <c r="N54" t="s">
        <v>38</v>
      </c>
    </row>
    <row r="56" spans="1:15" x14ac:dyDescent="0.4">
      <c r="A56" t="s">
        <v>37</v>
      </c>
      <c r="C56">
        <f>(C54-C47)/(C53-C46)</f>
        <v>27473779203.151783</v>
      </c>
    </row>
    <row r="57" spans="1:15" ht="17.399999999999999" x14ac:dyDescent="0.55000000000000004">
      <c r="A57" t="s">
        <v>36</v>
      </c>
      <c r="C57">
        <f>C47/C46</f>
        <v>2942517588.314189</v>
      </c>
      <c r="O57" s="3" t="s">
        <v>47</v>
      </c>
    </row>
    <row r="59" spans="1:15" x14ac:dyDescent="0.4">
      <c r="A59" t="s">
        <v>35</v>
      </c>
      <c r="C59">
        <f>C56/C57</f>
        <v>9.3368275222075763</v>
      </c>
      <c r="O59" t="s">
        <v>52</v>
      </c>
    </row>
    <row r="61" spans="1:15" x14ac:dyDescent="0.4">
      <c r="A61" t="s">
        <v>39</v>
      </c>
      <c r="C61">
        <f>FDIST(C59,C53-C46,C46)</f>
        <v>6.0735776167898881E-5</v>
      </c>
    </row>
    <row r="63" spans="1:15" x14ac:dyDescent="0.4">
      <c r="A63" s="1"/>
    </row>
    <row r="64" spans="1:15" x14ac:dyDescent="0.4">
      <c r="A64" s="1" t="s">
        <v>44</v>
      </c>
    </row>
    <row r="65" spans="1:11" x14ac:dyDescent="0.4">
      <c r="A65" s="1"/>
      <c r="C65" s="6" t="s">
        <v>49</v>
      </c>
      <c r="D65" s="8" t="s">
        <v>55</v>
      </c>
      <c r="E65" s="6" t="s">
        <v>27</v>
      </c>
      <c r="F65" s="7" t="s">
        <v>28</v>
      </c>
      <c r="G65" s="7" t="s">
        <v>29</v>
      </c>
      <c r="H65" s="7" t="s">
        <v>30</v>
      </c>
      <c r="I65" s="7" t="s">
        <v>31</v>
      </c>
      <c r="J65" s="8" t="s">
        <v>32</v>
      </c>
    </row>
    <row r="66" spans="1:11" x14ac:dyDescent="0.4">
      <c r="A66" s="1">
        <v>39151</v>
      </c>
      <c r="C66">
        <v>1</v>
      </c>
      <c r="D66">
        <v>15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f>MMULT(C66:J66,P5:P12)</f>
        <v>1129804.5371977394</v>
      </c>
    </row>
    <row r="69" spans="1:11" x14ac:dyDescent="0.4">
      <c r="J69" t="s">
        <v>45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030A-657F-46E7-9637-C8F0034BE375}">
  <dimension ref="A1:C29"/>
  <sheetViews>
    <sheetView tabSelected="1" workbookViewId="0">
      <selection activeCell="D6" sqref="D6"/>
    </sheetView>
  </sheetViews>
  <sheetFormatPr defaultRowHeight="12.3" x14ac:dyDescent="0.4"/>
  <cols>
    <col min="1" max="1" width="24.0546875" customWidth="1"/>
  </cols>
  <sheetData>
    <row r="1" spans="1:3" x14ac:dyDescent="0.4">
      <c r="A1" t="s">
        <v>57</v>
      </c>
      <c r="B1" s="21" t="s">
        <v>92</v>
      </c>
      <c r="C1" s="8" t="s">
        <v>55</v>
      </c>
    </row>
    <row r="2" spans="1:3" x14ac:dyDescent="0.4">
      <c r="A2" s="21" t="s">
        <v>93</v>
      </c>
      <c r="B2">
        <v>1386958</v>
      </c>
      <c r="C2" s="10">
        <v>20.399999999999999</v>
      </c>
    </row>
    <row r="3" spans="1:3" x14ac:dyDescent="0.4">
      <c r="A3" t="s">
        <v>65</v>
      </c>
      <c r="B3">
        <v>1265555</v>
      </c>
      <c r="C3" s="10">
        <v>16.8</v>
      </c>
    </row>
    <row r="4" spans="1:3" x14ac:dyDescent="0.4">
      <c r="A4" t="s">
        <v>66</v>
      </c>
      <c r="B4">
        <v>1196059</v>
      </c>
      <c r="C4" s="10">
        <v>15.8</v>
      </c>
    </row>
    <row r="5" spans="1:3" x14ac:dyDescent="0.4">
      <c r="A5" t="s">
        <v>67</v>
      </c>
      <c r="B5">
        <v>1060831</v>
      </c>
      <c r="C5" s="10">
        <v>13</v>
      </c>
    </row>
    <row r="6" spans="1:3" x14ac:dyDescent="0.4">
      <c r="A6" t="s">
        <v>68</v>
      </c>
      <c r="B6">
        <v>914483</v>
      </c>
      <c r="C6" s="10">
        <v>9.5</v>
      </c>
    </row>
    <row r="7" spans="1:3" x14ac:dyDescent="0.4">
      <c r="A7" t="s">
        <v>69</v>
      </c>
      <c r="B7">
        <v>793750</v>
      </c>
      <c r="C7" s="10">
        <v>10.5</v>
      </c>
    </row>
    <row r="8" spans="1:3" x14ac:dyDescent="0.4">
      <c r="A8" t="s">
        <v>70</v>
      </c>
      <c r="B8">
        <v>762958</v>
      </c>
      <c r="C8" s="10">
        <v>12.5</v>
      </c>
    </row>
    <row r="9" spans="1:3" x14ac:dyDescent="0.4">
      <c r="A9" t="s">
        <v>71</v>
      </c>
      <c r="B9">
        <v>1051044</v>
      </c>
      <c r="C9" s="10">
        <v>14.5</v>
      </c>
    </row>
    <row r="10" spans="1:3" x14ac:dyDescent="0.4">
      <c r="A10" t="s">
        <v>72</v>
      </c>
      <c r="B10">
        <v>1166432</v>
      </c>
      <c r="C10" s="10">
        <v>18.100000000000001</v>
      </c>
    </row>
    <row r="11" spans="1:3" x14ac:dyDescent="0.4">
      <c r="A11" t="s">
        <v>73</v>
      </c>
      <c r="B11">
        <v>1242801</v>
      </c>
      <c r="C11" s="10">
        <v>18.600000000000001</v>
      </c>
    </row>
    <row r="12" spans="1:3" x14ac:dyDescent="0.4">
      <c r="A12" t="s">
        <v>74</v>
      </c>
      <c r="B12">
        <v>1262514</v>
      </c>
      <c r="C12" s="10">
        <v>19.7</v>
      </c>
    </row>
    <row r="13" spans="1:3" x14ac:dyDescent="0.4">
      <c r="A13" t="s">
        <v>75</v>
      </c>
      <c r="B13">
        <v>1330696</v>
      </c>
      <c r="C13" s="10">
        <v>20.100000000000001</v>
      </c>
    </row>
    <row r="14" spans="1:3" x14ac:dyDescent="0.4">
      <c r="A14" t="s">
        <v>76</v>
      </c>
      <c r="B14">
        <v>1221052</v>
      </c>
      <c r="C14" s="10">
        <v>20.100000000000001</v>
      </c>
    </row>
    <row r="15" spans="1:3" x14ac:dyDescent="0.4">
      <c r="A15" t="s">
        <v>77</v>
      </c>
      <c r="B15">
        <v>1146966</v>
      </c>
      <c r="C15" s="10">
        <v>19.100000000000001</v>
      </c>
    </row>
    <row r="16" spans="1:3" x14ac:dyDescent="0.4">
      <c r="A16" t="s">
        <v>78</v>
      </c>
      <c r="B16">
        <v>1406802</v>
      </c>
      <c r="C16" s="10">
        <v>20.5</v>
      </c>
    </row>
    <row r="17" spans="1:3" x14ac:dyDescent="0.4">
      <c r="A17" t="s">
        <v>79</v>
      </c>
      <c r="B17">
        <v>1329972</v>
      </c>
      <c r="C17" s="10">
        <v>18.7</v>
      </c>
    </row>
    <row r="18" spans="1:3" x14ac:dyDescent="0.4">
      <c r="A18" t="s">
        <v>80</v>
      </c>
      <c r="B18">
        <v>1164491</v>
      </c>
      <c r="C18" s="10">
        <v>14.2</v>
      </c>
    </row>
    <row r="19" spans="1:3" x14ac:dyDescent="0.4">
      <c r="A19" t="s">
        <v>81</v>
      </c>
      <c r="B19">
        <v>1069930</v>
      </c>
      <c r="C19" s="10">
        <v>13.9</v>
      </c>
    </row>
    <row r="20" spans="1:3" x14ac:dyDescent="0.4">
      <c r="A20" t="s">
        <v>82</v>
      </c>
      <c r="B20">
        <v>1081091</v>
      </c>
      <c r="C20" s="10">
        <v>15.5</v>
      </c>
    </row>
    <row r="21" spans="1:3" x14ac:dyDescent="0.4">
      <c r="A21" t="s">
        <v>83</v>
      </c>
      <c r="B21">
        <v>903451</v>
      </c>
      <c r="C21" s="10">
        <v>13.2</v>
      </c>
    </row>
    <row r="22" spans="1:3" x14ac:dyDescent="0.4">
      <c r="A22" t="s">
        <v>84</v>
      </c>
      <c r="B22">
        <v>795221</v>
      </c>
      <c r="C22" s="10">
        <v>12.5</v>
      </c>
    </row>
    <row r="23" spans="1:3" x14ac:dyDescent="0.4">
      <c r="A23" t="s">
        <v>85</v>
      </c>
      <c r="B23">
        <v>1053172</v>
      </c>
      <c r="C23" s="10">
        <v>13.5</v>
      </c>
    </row>
    <row r="24" spans="1:3" x14ac:dyDescent="0.4">
      <c r="A24" t="s">
        <v>86</v>
      </c>
      <c r="B24">
        <v>1028997</v>
      </c>
      <c r="C24" s="10">
        <v>12.8</v>
      </c>
    </row>
    <row r="25" spans="1:3" x14ac:dyDescent="0.4">
      <c r="A25" t="s">
        <v>87</v>
      </c>
      <c r="B25">
        <v>966384</v>
      </c>
      <c r="C25" s="10">
        <v>12.5</v>
      </c>
    </row>
    <row r="26" spans="1:3" x14ac:dyDescent="0.4">
      <c r="A26" t="s">
        <v>88</v>
      </c>
      <c r="B26">
        <v>904913</v>
      </c>
      <c r="C26" s="10">
        <v>11.7</v>
      </c>
    </row>
    <row r="27" spans="1:3" x14ac:dyDescent="0.4">
      <c r="A27" t="s">
        <v>89</v>
      </c>
      <c r="B27">
        <v>902043</v>
      </c>
      <c r="C27" s="10">
        <v>12.9</v>
      </c>
    </row>
    <row r="28" spans="1:3" x14ac:dyDescent="0.4">
      <c r="A28" t="s">
        <v>90</v>
      </c>
      <c r="B28">
        <v>815695</v>
      </c>
      <c r="C28" s="10">
        <v>12.5</v>
      </c>
    </row>
    <row r="29" spans="1:3" x14ac:dyDescent="0.4">
      <c r="A29" t="s">
        <v>91</v>
      </c>
      <c r="B29">
        <v>745845</v>
      </c>
      <c r="C29" s="13">
        <v>11.8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6732-3455-47E0-AE58-664280B87310}">
  <dimension ref="A2:AC62"/>
  <sheetViews>
    <sheetView topLeftCell="G1" zoomScale="130" workbookViewId="0">
      <selection activeCell="L13" sqref="L13"/>
    </sheetView>
  </sheetViews>
  <sheetFormatPr defaultRowHeight="12.3" x14ac:dyDescent="0.4"/>
  <cols>
    <col min="1" max="1" width="21.1640625" bestFit="1" customWidth="1"/>
    <col min="2" max="2" width="12.5546875" bestFit="1" customWidth="1"/>
    <col min="3" max="3" width="8.5546875" customWidth="1"/>
    <col min="4" max="4" width="9.27734375" bestFit="1" customWidth="1"/>
    <col min="5" max="10" width="5.83203125" customWidth="1"/>
    <col min="11" max="11" width="9.1640625" customWidth="1"/>
    <col min="12" max="12" width="12" customWidth="1"/>
    <col min="13" max="13" width="2.5546875" customWidth="1"/>
    <col min="14" max="14" width="3.83203125" customWidth="1"/>
    <col min="16" max="16" width="10.27734375" customWidth="1"/>
    <col min="20" max="20" width="14" customWidth="1"/>
    <col min="22" max="22" width="12.44140625" bestFit="1" customWidth="1"/>
    <col min="23" max="23" width="12.5546875" bestFit="1" customWidth="1"/>
    <col min="24" max="29" width="9.44140625" bestFit="1" customWidth="1"/>
  </cols>
  <sheetData>
    <row r="2" spans="1:29" x14ac:dyDescent="0.4">
      <c r="A2" t="s">
        <v>57</v>
      </c>
      <c r="B2" t="s">
        <v>54</v>
      </c>
      <c r="C2" s="6" t="s">
        <v>49</v>
      </c>
      <c r="D2" s="7" t="s">
        <v>55</v>
      </c>
      <c r="E2" s="6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8" t="s">
        <v>61</v>
      </c>
      <c r="L2" s="17" t="s">
        <v>64</v>
      </c>
      <c r="M2" s="17"/>
      <c r="N2" s="17"/>
      <c r="AB2" t="s">
        <v>27</v>
      </c>
    </row>
    <row r="3" spans="1:29" x14ac:dyDescent="0.4">
      <c r="A3" t="s">
        <v>53</v>
      </c>
      <c r="B3">
        <v>1386958</v>
      </c>
      <c r="C3" s="9">
        <v>1</v>
      </c>
      <c r="D3" s="5">
        <v>20.399999999999999</v>
      </c>
      <c r="E3" s="9">
        <v>1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10">
        <v>0</v>
      </c>
      <c r="L3">
        <f t="array" ref="L3">B3-MMULT(E3:K3,P$16:P$22)</f>
        <v>1326969.9694610084</v>
      </c>
      <c r="R3">
        <f>SUM(B3:B9)</f>
        <v>7380594</v>
      </c>
      <c r="S3">
        <f>SUM(L3:L9)</f>
        <v>7380593.9999999991</v>
      </c>
      <c r="V3">
        <f t="array" ref="V3:AC7">LINEST(B3:B30,D3:K30,0,1)</f>
        <v>220953.86759420502</v>
      </c>
      <c r="W3">
        <v>287100.92657520104</v>
      </c>
      <c r="X3">
        <v>391174.30224443454</v>
      </c>
      <c r="Y3">
        <v>405198.72148018138</v>
      </c>
      <c r="Z3">
        <v>440938.38434715429</v>
      </c>
      <c r="AA3">
        <v>435393.79084535257</v>
      </c>
      <c r="AB3">
        <v>433446.03447657818</v>
      </c>
      <c r="AC3">
        <v>45924.410190039001</v>
      </c>
    </row>
    <row r="4" spans="1:29" x14ac:dyDescent="0.4">
      <c r="A4" t="s">
        <v>0</v>
      </c>
      <c r="B4">
        <v>1265555</v>
      </c>
      <c r="C4" s="9">
        <v>1</v>
      </c>
      <c r="D4" s="5">
        <v>16.8</v>
      </c>
      <c r="E4" s="9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10">
        <v>0</v>
      </c>
      <c r="L4">
        <f t="array" ref="L4">B4-MMULT(E4:K4,P$16:P$22)</f>
        <v>1203619.213092234</v>
      </c>
      <c r="R4">
        <f t="shared" ref="R4:R14" si="0">SUM(B4:B10)</f>
        <v>7044680</v>
      </c>
      <c r="S4">
        <f t="shared" ref="S4:S14" si="1">SUM(L4:L10)</f>
        <v>7044680</v>
      </c>
      <c r="V4">
        <v>53628.050972854064</v>
      </c>
      <c r="W4">
        <v>53913.898068259281</v>
      </c>
      <c r="X4">
        <v>55134.390626445282</v>
      </c>
      <c r="Y4">
        <v>55350.690452007802</v>
      </c>
      <c r="Z4">
        <v>57381.978014743807</v>
      </c>
      <c r="AA4">
        <v>61282.512430317249</v>
      </c>
      <c r="AB4">
        <v>63144.521935375022</v>
      </c>
      <c r="AC4">
        <v>3310.4681246225978</v>
      </c>
    </row>
    <row r="5" spans="1:29" x14ac:dyDescent="0.4">
      <c r="A5" t="s">
        <v>1</v>
      </c>
      <c r="B5">
        <v>1196059</v>
      </c>
      <c r="C5" s="9">
        <v>1</v>
      </c>
      <c r="D5" s="5">
        <v>15.8</v>
      </c>
      <c r="E5" s="9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10">
        <v>0</v>
      </c>
      <c r="L5">
        <f t="array" ref="L5">B5-MMULT(E5:K5,P$16:P$22)</f>
        <v>1128578.6195904324</v>
      </c>
      <c r="P5" s="4" t="s">
        <v>40</v>
      </c>
      <c r="R5">
        <f t="shared" si="0"/>
        <v>6945557</v>
      </c>
      <c r="S5">
        <f t="shared" si="1"/>
        <v>6945557</v>
      </c>
      <c r="V5">
        <v>0.9982238032933457</v>
      </c>
      <c r="W5">
        <v>54244.977539991538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</row>
    <row r="6" spans="1:29" x14ac:dyDescent="0.4">
      <c r="A6" t="s">
        <v>2</v>
      </c>
      <c r="B6">
        <v>1060831</v>
      </c>
      <c r="C6" s="9">
        <v>1</v>
      </c>
      <c r="D6" s="5">
        <v>13</v>
      </c>
      <c r="E6" s="9">
        <v>0</v>
      </c>
      <c r="F6" s="5">
        <v>0</v>
      </c>
      <c r="G6" s="5">
        <v>0</v>
      </c>
      <c r="H6" s="5">
        <v>1</v>
      </c>
      <c r="I6" s="5">
        <v>0</v>
      </c>
      <c r="J6" s="5">
        <v>0</v>
      </c>
      <c r="K6" s="10">
        <v>0</v>
      </c>
      <c r="L6">
        <f t="array" ref="L6">B6-MMULT(E6:K6,P$16:P$22)</f>
        <v>1029090.2824574051</v>
      </c>
      <c r="N6">
        <v>8</v>
      </c>
      <c r="O6" t="str">
        <f t="shared" ref="O6:O13" si="2">INDEX(B$43:I$43,1,N6)</f>
        <v>Intercetta</v>
      </c>
      <c r="P6" s="18">
        <f t="shared" ref="P6:P13" si="3">INDEX(B$44:I$44,1,N6)</f>
        <v>220953.86759420499</v>
      </c>
      <c r="R6">
        <f t="shared" si="0"/>
        <v>6992299</v>
      </c>
      <c r="S6">
        <f t="shared" si="1"/>
        <v>6992298.9999999991</v>
      </c>
      <c r="V6">
        <v>1405.0017652234446</v>
      </c>
      <c r="W6">
        <v>20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</row>
    <row r="7" spans="1:29" x14ac:dyDescent="0.4">
      <c r="A7" t="s">
        <v>3</v>
      </c>
      <c r="B7">
        <v>914483</v>
      </c>
      <c r="C7" s="9">
        <v>1</v>
      </c>
      <c r="D7" s="5">
        <v>9.5</v>
      </c>
      <c r="E7" s="9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10">
        <v>0</v>
      </c>
      <c r="L7">
        <f t="array" ref="L7">B7-MMULT(E7:K7,P$16:P$22)</f>
        <v>896766.70169315231</v>
      </c>
      <c r="N7">
        <v>7</v>
      </c>
      <c r="O7" t="str">
        <f t="shared" si="2"/>
        <v>Temp</v>
      </c>
      <c r="P7">
        <f t="shared" si="3"/>
        <v>45924.410190039009</v>
      </c>
      <c r="R7">
        <f t="shared" si="0"/>
        <v>7193982</v>
      </c>
      <c r="S7">
        <f t="shared" si="1"/>
        <v>7193982</v>
      </c>
      <c r="V7">
        <v>33073939246259.715</v>
      </c>
      <c r="W7">
        <v>58850351766.283722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</row>
    <row r="8" spans="1:29" x14ac:dyDescent="0.4">
      <c r="A8" t="s">
        <v>4</v>
      </c>
      <c r="B8">
        <v>793750</v>
      </c>
      <c r="C8" s="9">
        <v>1</v>
      </c>
      <c r="D8" s="5">
        <v>10.5</v>
      </c>
      <c r="E8" s="9">
        <v>0</v>
      </c>
      <c r="F8" s="5">
        <v>0</v>
      </c>
      <c r="G8" s="5">
        <v>0</v>
      </c>
      <c r="H8" s="5">
        <v>0</v>
      </c>
      <c r="I8" s="5">
        <v>0</v>
      </c>
      <c r="J8" s="5">
        <v>1</v>
      </c>
      <c r="K8" s="10">
        <v>0</v>
      </c>
      <c r="L8">
        <f t="array" ref="L8">B8-MMULT(E8:K8,P$16:P$22)</f>
        <v>880107.07736238558</v>
      </c>
      <c r="N8">
        <v>6</v>
      </c>
      <c r="O8" t="str">
        <f t="shared" si="2"/>
        <v>gio</v>
      </c>
      <c r="P8" s="18">
        <f t="shared" si="3"/>
        <v>212492.16688237325</v>
      </c>
      <c r="R8">
        <f t="shared" si="0"/>
        <v>7610195</v>
      </c>
      <c r="S8">
        <f t="shared" si="1"/>
        <v>7610194.9999999991</v>
      </c>
    </row>
    <row r="9" spans="1:29" x14ac:dyDescent="0.4">
      <c r="A9" t="s">
        <v>5</v>
      </c>
      <c r="B9">
        <v>762958</v>
      </c>
      <c r="C9" s="9">
        <v>1</v>
      </c>
      <c r="D9" s="5">
        <v>12.5</v>
      </c>
      <c r="E9" s="9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10">
        <v>1</v>
      </c>
      <c r="L9">
        <f t="array" ref="L9">B9-MMULT(E9:K9,P$16:P$22)</f>
        <v>915462.13634338172</v>
      </c>
      <c r="N9">
        <v>5</v>
      </c>
      <c r="O9" t="str">
        <f t="shared" si="2"/>
        <v>ven</v>
      </c>
      <c r="P9">
        <f t="shared" si="3"/>
        <v>214439.92325114773</v>
      </c>
      <c r="R9">
        <f t="shared" si="0"/>
        <v>8037497</v>
      </c>
      <c r="S9">
        <f t="shared" si="1"/>
        <v>8037497</v>
      </c>
    </row>
    <row r="10" spans="1:29" x14ac:dyDescent="0.4">
      <c r="A10" t="s">
        <v>6</v>
      </c>
      <c r="B10">
        <v>1051044</v>
      </c>
      <c r="C10" s="9">
        <v>1</v>
      </c>
      <c r="D10" s="5">
        <v>14.5</v>
      </c>
      <c r="E10" s="9">
        <v>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10">
        <v>0</v>
      </c>
      <c r="L10">
        <f t="array" ref="L10">B10-MMULT(E10:K10,P$16:P$22)</f>
        <v>991055.96946100844</v>
      </c>
      <c r="N10">
        <v>4</v>
      </c>
      <c r="O10" t="str">
        <f t="shared" si="2"/>
        <v>sab</v>
      </c>
      <c r="P10">
        <f t="shared" si="3"/>
        <v>219984.5167529493</v>
      </c>
      <c r="R10">
        <f t="shared" si="0"/>
        <v>8421505</v>
      </c>
      <c r="S10">
        <f t="shared" si="1"/>
        <v>8421505</v>
      </c>
    </row>
    <row r="11" spans="1:29" x14ac:dyDescent="0.4">
      <c r="A11" t="s">
        <v>7</v>
      </c>
      <c r="B11">
        <v>1166432</v>
      </c>
      <c r="C11" s="9">
        <v>1</v>
      </c>
      <c r="D11" s="5">
        <v>18.100000000000001</v>
      </c>
      <c r="E11" s="9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10">
        <v>0</v>
      </c>
      <c r="L11">
        <f t="array" ref="L11">B11-MMULT(E11:K11,P$16:P$22)</f>
        <v>1104496.213092234</v>
      </c>
      <c r="N11">
        <v>3</v>
      </c>
      <c r="O11" t="str">
        <f t="shared" si="2"/>
        <v>dom</v>
      </c>
      <c r="P11">
        <f t="shared" si="3"/>
        <v>184244.85388597663</v>
      </c>
      <c r="R11">
        <f t="shared" si="0"/>
        <v>8777263</v>
      </c>
      <c r="S11">
        <f t="shared" si="1"/>
        <v>8777263</v>
      </c>
    </row>
    <row r="12" spans="1:29" x14ac:dyDescent="0.4">
      <c r="A12" t="s">
        <v>8</v>
      </c>
      <c r="B12">
        <v>1242801</v>
      </c>
      <c r="C12" s="9">
        <v>1</v>
      </c>
      <c r="D12" s="5">
        <v>18.600000000000001</v>
      </c>
      <c r="E12" s="9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10">
        <v>0</v>
      </c>
      <c r="L12">
        <f t="array" ref="L12">B12-MMULT(E12:K12,P$16:P$22)</f>
        <v>1175320.6195904324</v>
      </c>
      <c r="N12">
        <v>2</v>
      </c>
      <c r="O12" t="str">
        <f t="shared" si="2"/>
        <v>lun</v>
      </c>
      <c r="P12">
        <f t="shared" si="3"/>
        <v>170220.43465022949</v>
      </c>
      <c r="R12">
        <f t="shared" si="0"/>
        <v>8940803</v>
      </c>
      <c r="S12">
        <f t="shared" si="1"/>
        <v>8940803</v>
      </c>
    </row>
    <row r="13" spans="1:29" x14ac:dyDescent="0.4">
      <c r="A13" t="s">
        <v>9</v>
      </c>
      <c r="B13">
        <v>1262514</v>
      </c>
      <c r="C13" s="9">
        <v>1</v>
      </c>
      <c r="D13" s="5">
        <v>19.7</v>
      </c>
      <c r="E13" s="9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10">
        <v>0</v>
      </c>
      <c r="L13">
        <f t="array" ref="L13">B13-MMULT(E13:K13,P$16:P$22)</f>
        <v>1230773.2824574052</v>
      </c>
      <c r="N13">
        <v>1</v>
      </c>
      <c r="O13" t="str">
        <f t="shared" si="2"/>
        <v>mar</v>
      </c>
      <c r="P13">
        <f t="shared" si="3"/>
        <v>66147.058980996109</v>
      </c>
      <c r="R13">
        <f t="shared" si="0"/>
        <v>8862493</v>
      </c>
      <c r="S13">
        <f t="shared" si="1"/>
        <v>8862493</v>
      </c>
    </row>
    <row r="14" spans="1:29" x14ac:dyDescent="0.4">
      <c r="A14" t="s">
        <v>10</v>
      </c>
      <c r="B14">
        <v>1330696</v>
      </c>
      <c r="C14" s="9">
        <v>1</v>
      </c>
      <c r="D14" s="5">
        <v>20.100000000000001</v>
      </c>
      <c r="E14" s="9">
        <v>0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10">
        <v>0</v>
      </c>
      <c r="L14">
        <f t="array" ref="L14">B14-MMULT(E14:K14,P$16:P$22)</f>
        <v>1312979.7016931523</v>
      </c>
      <c r="R14">
        <f t="shared" si="0"/>
        <v>8669909</v>
      </c>
      <c r="S14">
        <f t="shared" si="1"/>
        <v>8669909</v>
      </c>
    </row>
    <row r="15" spans="1:29" x14ac:dyDescent="0.4">
      <c r="A15" t="s">
        <v>11</v>
      </c>
      <c r="B15">
        <v>1221052</v>
      </c>
      <c r="C15" s="9">
        <v>1</v>
      </c>
      <c r="D15" s="5">
        <v>20.100000000000001</v>
      </c>
      <c r="E15" s="9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10">
        <v>0</v>
      </c>
      <c r="L15">
        <f t="array" ref="L15">B15-MMULT(E15:K15,P$16:P$22)</f>
        <v>1307409.0773623856</v>
      </c>
      <c r="O15" s="4" t="s">
        <v>62</v>
      </c>
      <c r="P15" s="4" t="s">
        <v>63</v>
      </c>
    </row>
    <row r="16" spans="1:29" x14ac:dyDescent="0.4">
      <c r="A16" t="s">
        <v>12</v>
      </c>
      <c r="B16">
        <v>1146966</v>
      </c>
      <c r="C16" s="9">
        <v>1</v>
      </c>
      <c r="D16" s="5">
        <v>19.100000000000001</v>
      </c>
      <c r="E16" s="9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10">
        <v>1</v>
      </c>
      <c r="L16">
        <f t="array" ref="L16">B16-MMULT(E16:K16,P$16:P$22)</f>
        <v>1299470.1363433818</v>
      </c>
      <c r="N16" t="str">
        <f t="shared" ref="N16:N21" si="4">O8</f>
        <v>gio</v>
      </c>
      <c r="O16" s="19">
        <f t="shared" ref="O16:O22" si="5">P8+P$6</f>
        <v>433446.03447657824</v>
      </c>
      <c r="P16" s="19">
        <f t="shared" ref="P16:P22" si="6">O16-O$23</f>
        <v>59988.030538991501</v>
      </c>
    </row>
    <row r="17" spans="1:22" x14ac:dyDescent="0.4">
      <c r="A17" t="s">
        <v>13</v>
      </c>
      <c r="B17">
        <v>1406802</v>
      </c>
      <c r="C17" s="9">
        <v>1</v>
      </c>
      <c r="D17" s="5">
        <v>20.5</v>
      </c>
      <c r="E17" s="9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10">
        <v>0</v>
      </c>
      <c r="L17">
        <f t="array" ref="L17">B17-MMULT(E17:K17,P$16:P$22)</f>
        <v>1346813.9694610084</v>
      </c>
      <c r="N17" t="str">
        <f t="shared" si="4"/>
        <v>ven</v>
      </c>
      <c r="O17" s="19">
        <f t="shared" si="5"/>
        <v>435393.79084535269</v>
      </c>
      <c r="P17" s="19">
        <f t="shared" si="6"/>
        <v>61935.786907765956</v>
      </c>
    </row>
    <row r="18" spans="1:22" x14ac:dyDescent="0.4">
      <c r="A18" t="s">
        <v>14</v>
      </c>
      <c r="B18">
        <v>1329972</v>
      </c>
      <c r="C18" s="9">
        <v>1</v>
      </c>
      <c r="D18" s="5">
        <v>18.7</v>
      </c>
      <c r="E18" s="9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10">
        <v>0</v>
      </c>
      <c r="L18">
        <f t="array" ref="L18">B18-MMULT(E18:K18,P$16:P$22)</f>
        <v>1268036.213092234</v>
      </c>
      <c r="N18" t="str">
        <f t="shared" si="4"/>
        <v>sab</v>
      </c>
      <c r="O18" s="19">
        <f t="shared" si="5"/>
        <v>440938.38434715429</v>
      </c>
      <c r="P18" s="19">
        <f t="shared" si="6"/>
        <v>67480.380409567559</v>
      </c>
    </row>
    <row r="19" spans="1:22" x14ac:dyDescent="0.4">
      <c r="A19" t="s">
        <v>15</v>
      </c>
      <c r="B19">
        <v>1164491</v>
      </c>
      <c r="C19" s="9">
        <v>1</v>
      </c>
      <c r="D19" s="5">
        <v>14.2</v>
      </c>
      <c r="E19" s="9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10">
        <v>0</v>
      </c>
      <c r="L19">
        <f t="array" ref="L19">B19-MMULT(E19:K19,P$16:P$22)</f>
        <v>1097010.6195904324</v>
      </c>
      <c r="N19" t="str">
        <f t="shared" si="4"/>
        <v>dom</v>
      </c>
      <c r="O19" s="19">
        <f t="shared" si="5"/>
        <v>405198.72148018162</v>
      </c>
      <c r="P19" s="19">
        <f t="shared" si="6"/>
        <v>31740.717542594881</v>
      </c>
    </row>
    <row r="20" spans="1:22" x14ac:dyDescent="0.4">
      <c r="A20" t="s">
        <v>16</v>
      </c>
      <c r="B20">
        <v>1069930</v>
      </c>
      <c r="C20" s="9">
        <v>1</v>
      </c>
      <c r="D20" s="5">
        <v>13.9</v>
      </c>
      <c r="E20" s="9">
        <v>0</v>
      </c>
      <c r="F20" s="5">
        <v>0</v>
      </c>
      <c r="G20" s="5">
        <v>0</v>
      </c>
      <c r="H20" s="5">
        <v>1</v>
      </c>
      <c r="I20" s="5">
        <v>0</v>
      </c>
      <c r="J20" s="5">
        <v>0</v>
      </c>
      <c r="K20" s="10">
        <v>0</v>
      </c>
      <c r="L20">
        <f t="array" ref="L20">B20-MMULT(E20:K20,P$16:P$22)</f>
        <v>1038189.2824574051</v>
      </c>
      <c r="N20" t="str">
        <f t="shared" si="4"/>
        <v>lun</v>
      </c>
      <c r="O20" s="19">
        <f t="shared" si="5"/>
        <v>391174.30224443448</v>
      </c>
      <c r="P20" s="19">
        <f t="shared" si="6"/>
        <v>17716.298306847748</v>
      </c>
    </row>
    <row r="21" spans="1:22" x14ac:dyDescent="0.4">
      <c r="A21" t="s">
        <v>17</v>
      </c>
      <c r="B21">
        <v>1081091</v>
      </c>
      <c r="C21" s="9">
        <v>1</v>
      </c>
      <c r="D21" s="5">
        <v>15.5</v>
      </c>
      <c r="E21" s="9">
        <v>0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10">
        <v>0</v>
      </c>
      <c r="L21">
        <f t="array" ref="L21">B21-MMULT(E21:K21,P$16:P$22)</f>
        <v>1063374.7016931523</v>
      </c>
      <c r="N21" t="str">
        <f t="shared" si="4"/>
        <v>mar</v>
      </c>
      <c r="O21" s="19">
        <f t="shared" si="5"/>
        <v>287100.9265752011</v>
      </c>
      <c r="P21" s="19">
        <f t="shared" si="6"/>
        <v>-86357.077362385637</v>
      </c>
    </row>
    <row r="22" spans="1:22" x14ac:dyDescent="0.4">
      <c r="A22" t="s">
        <v>18</v>
      </c>
      <c r="B22">
        <v>903451</v>
      </c>
      <c r="C22" s="9">
        <v>1</v>
      </c>
      <c r="D22" s="5">
        <v>13.2</v>
      </c>
      <c r="E22" s="9">
        <v>0</v>
      </c>
      <c r="F22" s="5">
        <v>0</v>
      </c>
      <c r="G22" s="5">
        <v>0</v>
      </c>
      <c r="H22" s="5">
        <v>0</v>
      </c>
      <c r="I22" s="5">
        <v>0</v>
      </c>
      <c r="J22" s="5">
        <v>1</v>
      </c>
      <c r="K22" s="10">
        <v>0</v>
      </c>
      <c r="L22">
        <f t="array" ref="L22">B22-MMULT(E22:K22,P$16:P$22)</f>
        <v>989808.07736238558</v>
      </c>
      <c r="N22" t="s">
        <v>61</v>
      </c>
      <c r="O22" s="19">
        <f t="shared" si="5"/>
        <v>220953.86759420499</v>
      </c>
      <c r="P22" s="19">
        <f t="shared" si="6"/>
        <v>-152504.13634338175</v>
      </c>
    </row>
    <row r="23" spans="1:22" x14ac:dyDescent="0.4">
      <c r="A23" t="s">
        <v>19</v>
      </c>
      <c r="B23">
        <v>795221</v>
      </c>
      <c r="C23" s="9">
        <v>1</v>
      </c>
      <c r="D23" s="5">
        <v>12.5</v>
      </c>
      <c r="E23" s="9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10">
        <v>1</v>
      </c>
      <c r="L23">
        <f t="array" ref="L23">B23-MMULT(E23:K23,P$16:P$22)</f>
        <v>947725.13634338172</v>
      </c>
      <c r="O23" s="19">
        <f>AVERAGE(O16:O22)</f>
        <v>373458.00393758673</v>
      </c>
      <c r="P23" s="19">
        <f>SUM(P16:P22)</f>
        <v>2.6193447411060333E-10</v>
      </c>
    </row>
    <row r="24" spans="1:22" x14ac:dyDescent="0.4">
      <c r="A24" t="s">
        <v>20</v>
      </c>
      <c r="B24">
        <v>1053172</v>
      </c>
      <c r="C24" s="9">
        <v>1</v>
      </c>
      <c r="D24" s="5">
        <v>13.5</v>
      </c>
      <c r="E24" s="9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10">
        <v>0</v>
      </c>
      <c r="L24">
        <f t="array" ref="L24">B24-MMULT(E24:K24,P$16:P$22)</f>
        <v>993183.96946100844</v>
      </c>
    </row>
    <row r="25" spans="1:22" x14ac:dyDescent="0.4">
      <c r="A25" t="s">
        <v>21</v>
      </c>
      <c r="B25">
        <v>1028997</v>
      </c>
      <c r="C25" s="9">
        <v>1</v>
      </c>
      <c r="D25" s="5">
        <v>12.8</v>
      </c>
      <c r="E25" s="9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10">
        <v>0</v>
      </c>
      <c r="L25">
        <f t="array" ref="L25">B25-MMULT(E25:K25,P$16:P$22)</f>
        <v>967061.21309223399</v>
      </c>
    </row>
    <row r="26" spans="1:22" x14ac:dyDescent="0.4">
      <c r="A26" t="s">
        <v>22</v>
      </c>
      <c r="B26">
        <v>966384</v>
      </c>
      <c r="C26" s="9">
        <v>1</v>
      </c>
      <c r="D26" s="5">
        <v>12.5</v>
      </c>
      <c r="E26" s="9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10">
        <v>0</v>
      </c>
      <c r="L26">
        <f t="array" ref="L26">B26-MMULT(E26:K26,P$16:P$22)</f>
        <v>898903.61959043238</v>
      </c>
      <c r="V26">
        <f>P6+P10+P7*15</f>
        <v>1129804.5371977394</v>
      </c>
    </row>
    <row r="27" spans="1:22" x14ac:dyDescent="0.4">
      <c r="A27" t="s">
        <v>23</v>
      </c>
      <c r="B27">
        <v>904913</v>
      </c>
      <c r="C27" s="9">
        <v>1</v>
      </c>
      <c r="D27" s="5">
        <v>11.7</v>
      </c>
      <c r="E27" s="9">
        <v>0</v>
      </c>
      <c r="F27" s="5">
        <v>0</v>
      </c>
      <c r="G27" s="5">
        <v>0</v>
      </c>
      <c r="H27" s="5">
        <v>1</v>
      </c>
      <c r="I27" s="5">
        <v>0</v>
      </c>
      <c r="J27" s="5">
        <v>0</v>
      </c>
      <c r="K27" s="10">
        <v>0</v>
      </c>
      <c r="L27">
        <f t="array" ref="L27">B27-MMULT(E27:K27,P$16:P$22)</f>
        <v>873172.28245740512</v>
      </c>
    </row>
    <row r="28" spans="1:22" x14ac:dyDescent="0.4">
      <c r="A28" t="s">
        <v>24</v>
      </c>
      <c r="B28">
        <v>902043</v>
      </c>
      <c r="C28" s="9">
        <v>1</v>
      </c>
      <c r="D28" s="5">
        <v>12.9</v>
      </c>
      <c r="E28" s="9">
        <v>0</v>
      </c>
      <c r="F28" s="5">
        <v>0</v>
      </c>
      <c r="G28" s="5">
        <v>0</v>
      </c>
      <c r="H28" s="5">
        <v>0</v>
      </c>
      <c r="I28" s="5">
        <v>1</v>
      </c>
      <c r="J28" s="5">
        <v>0</v>
      </c>
      <c r="K28" s="10">
        <v>0</v>
      </c>
      <c r="L28">
        <f t="array" ref="L28">B28-MMULT(E28:K28,P$16:P$22)</f>
        <v>884326.70169315231</v>
      </c>
    </row>
    <row r="29" spans="1:22" x14ac:dyDescent="0.4">
      <c r="A29" t="s">
        <v>25</v>
      </c>
      <c r="B29">
        <v>815695</v>
      </c>
      <c r="C29" s="9">
        <v>1</v>
      </c>
      <c r="D29" s="5">
        <v>12.5</v>
      </c>
      <c r="E29" s="9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10">
        <v>0</v>
      </c>
      <c r="L29">
        <f t="array" ref="L29">B29-MMULT(E29:K29,P$16:P$22)</f>
        <v>902052.07736238558</v>
      </c>
    </row>
    <row r="30" spans="1:22" x14ac:dyDescent="0.4">
      <c r="A30" t="s">
        <v>26</v>
      </c>
      <c r="B30">
        <v>745845</v>
      </c>
      <c r="C30" s="11">
        <v>1</v>
      </c>
      <c r="D30" s="12">
        <v>11.8</v>
      </c>
      <c r="E30" s="11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3">
        <v>1</v>
      </c>
      <c r="L30">
        <f t="array" ref="L30">B30-MMULT(E30:K30,P$16:P$22)</f>
        <v>898349.13634338172</v>
      </c>
    </row>
    <row r="31" spans="1:22" x14ac:dyDescent="0.4">
      <c r="A31" s="5"/>
      <c r="B31" s="5">
        <f>SUM(B3:B30)</f>
        <v>29970106</v>
      </c>
      <c r="C31" s="5"/>
      <c r="L31">
        <f>SUM(L3:L30)</f>
        <v>29970105.999999993</v>
      </c>
    </row>
    <row r="32" spans="1:22" x14ac:dyDescent="0.4">
      <c r="A32" s="5"/>
      <c r="B32" s="17">
        <v>9</v>
      </c>
      <c r="C32" s="17">
        <v>8</v>
      </c>
      <c r="D32" s="17">
        <v>7</v>
      </c>
      <c r="E32" s="17">
        <v>6</v>
      </c>
      <c r="F32" s="17">
        <v>5</v>
      </c>
      <c r="G32" s="17">
        <v>4</v>
      </c>
      <c r="H32" s="17">
        <v>3</v>
      </c>
      <c r="I32" s="17">
        <v>2</v>
      </c>
      <c r="J32" s="17">
        <v>1</v>
      </c>
    </row>
    <row r="33" spans="1:12" x14ac:dyDescent="0.4">
      <c r="B33" t="str">
        <f t="shared" ref="B33:J33" si="7">INDEX($C2:$K2,1,B32)</f>
        <v>mer</v>
      </c>
      <c r="C33" t="str">
        <f t="shared" si="7"/>
        <v>mar</v>
      </c>
      <c r="D33" t="str">
        <f t="shared" si="7"/>
        <v>lun</v>
      </c>
      <c r="E33" t="str">
        <f t="shared" si="7"/>
        <v>dom</v>
      </c>
      <c r="F33" t="str">
        <f t="shared" si="7"/>
        <v>sab</v>
      </c>
      <c r="G33" t="str">
        <f t="shared" si="7"/>
        <v>ven</v>
      </c>
      <c r="H33" t="str">
        <f t="shared" si="7"/>
        <v>gio</v>
      </c>
      <c r="I33" t="str">
        <f t="shared" si="7"/>
        <v>Temp</v>
      </c>
      <c r="J33" t="str">
        <f t="shared" si="7"/>
        <v>Intercetta</v>
      </c>
    </row>
    <row r="34" spans="1:12" ht="17.399999999999999" x14ac:dyDescent="0.55000000000000004">
      <c r="B34">
        <f t="array" ref="B34:J38">LINEST(B3:B30,D3:K30,0,1)</f>
        <v>220953.86759420502</v>
      </c>
      <c r="C34">
        <v>287100.92657520104</v>
      </c>
      <c r="D34">
        <v>391174.30224443454</v>
      </c>
      <c r="E34">
        <v>405198.72148018138</v>
      </c>
      <c r="F34">
        <v>440938.38434715429</v>
      </c>
      <c r="G34">
        <v>435393.79084535257</v>
      </c>
      <c r="H34">
        <v>433446.03447657818</v>
      </c>
      <c r="I34">
        <v>45924.410190039001</v>
      </c>
      <c r="J34">
        <v>0</v>
      </c>
      <c r="L34" s="3" t="s">
        <v>42</v>
      </c>
    </row>
    <row r="35" spans="1:12" x14ac:dyDescent="0.4">
      <c r="B35">
        <v>53628.050972854064</v>
      </c>
      <c r="C35">
        <v>53913.898068259281</v>
      </c>
      <c r="D35">
        <v>55134.390626445282</v>
      </c>
      <c r="E35">
        <v>55350.690452007802</v>
      </c>
      <c r="F35">
        <v>57381.978014743807</v>
      </c>
      <c r="G35">
        <v>61282.512430317249</v>
      </c>
      <c r="H35">
        <v>63144.521935375022</v>
      </c>
      <c r="I35">
        <v>3310.4681246225978</v>
      </c>
      <c r="J35" t="e">
        <v>#N/A</v>
      </c>
    </row>
    <row r="36" spans="1:12" x14ac:dyDescent="0.4">
      <c r="A36" t="s">
        <v>33</v>
      </c>
      <c r="B36">
        <v>0.9982238032933457</v>
      </c>
      <c r="C36">
        <v>54244.977539991538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</row>
    <row r="37" spans="1:12" ht="17.399999999999999" x14ac:dyDescent="0.55000000000000004">
      <c r="A37" t="s">
        <v>34</v>
      </c>
      <c r="B37">
        <v>1405.0017652234446</v>
      </c>
      <c r="C37">
        <v>20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L37" s="3" t="s">
        <v>48</v>
      </c>
    </row>
    <row r="38" spans="1:12" x14ac:dyDescent="0.4">
      <c r="B38">
        <v>33073939246259.715</v>
      </c>
      <c r="C38">
        <v>58850351766.283722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</row>
    <row r="40" spans="1:12" x14ac:dyDescent="0.4">
      <c r="A40" t="s">
        <v>58</v>
      </c>
      <c r="B40">
        <f t="shared" ref="B40:J40" si="8">B34/B35</f>
        <v>4.1201174308208488</v>
      </c>
      <c r="C40">
        <f t="shared" si="8"/>
        <v>5.3251747111980006</v>
      </c>
      <c r="D40">
        <f t="shared" si="8"/>
        <v>7.0949238361003539</v>
      </c>
      <c r="E40">
        <f t="shared" si="8"/>
        <v>7.3205721224292901</v>
      </c>
      <c r="F40">
        <f t="shared" si="8"/>
        <v>7.6842660292027398</v>
      </c>
      <c r="G40">
        <f t="shared" si="8"/>
        <v>7.1046987725972812</v>
      </c>
      <c r="H40">
        <f t="shared" si="8"/>
        <v>6.8643489758333525</v>
      </c>
      <c r="I40">
        <f t="shared" si="8"/>
        <v>13.872482217382627</v>
      </c>
      <c r="J40" t="e">
        <f t="shared" si="8"/>
        <v>#N/A</v>
      </c>
      <c r="L40" t="s">
        <v>43</v>
      </c>
    </row>
    <row r="41" spans="1:12" x14ac:dyDescent="0.4">
      <c r="A41" t="s">
        <v>59</v>
      </c>
      <c r="B41" s="4">
        <f t="shared" ref="B41:J41" si="9">TDIST(ABS(B40),$C37,2)</f>
        <v>5.3123344675603471E-4</v>
      </c>
      <c r="C41">
        <f t="shared" si="9"/>
        <v>3.2698549103999755E-5</v>
      </c>
      <c r="D41">
        <f t="shared" si="9"/>
        <v>7.0713602581086051E-7</v>
      </c>
      <c r="E41">
        <f t="shared" si="9"/>
        <v>4.4650624881860783E-7</v>
      </c>
      <c r="F41">
        <f t="shared" si="9"/>
        <v>2.1590739073764781E-7</v>
      </c>
      <c r="G41">
        <f t="shared" si="9"/>
        <v>6.9309291144758088E-7</v>
      </c>
      <c r="H41">
        <f t="shared" si="9"/>
        <v>1.1392217491723336E-6</v>
      </c>
      <c r="I41">
        <f t="shared" si="9"/>
        <v>1.0075290013844531E-11</v>
      </c>
      <c r="J41" t="e">
        <f t="shared" si="9"/>
        <v>#N/A</v>
      </c>
    </row>
    <row r="43" spans="1:12" x14ac:dyDescent="0.4">
      <c r="B43" t="str">
        <f t="shared" ref="B43:I43" si="10">INDEX($C2:$K2,1,C32)</f>
        <v>mar</v>
      </c>
      <c r="C43" t="str">
        <f t="shared" si="10"/>
        <v>lun</v>
      </c>
      <c r="D43" t="str">
        <f t="shared" si="10"/>
        <v>dom</v>
      </c>
      <c r="E43" t="str">
        <f t="shared" si="10"/>
        <v>sab</v>
      </c>
      <c r="F43" t="str">
        <f t="shared" si="10"/>
        <v>ven</v>
      </c>
      <c r="G43" t="str">
        <f t="shared" si="10"/>
        <v>gio</v>
      </c>
      <c r="H43" t="str">
        <f t="shared" si="10"/>
        <v>Temp</v>
      </c>
      <c r="I43" t="str">
        <f t="shared" si="10"/>
        <v>Intercetta</v>
      </c>
    </row>
    <row r="44" spans="1:12" x14ac:dyDescent="0.4">
      <c r="A44" t="s">
        <v>50</v>
      </c>
      <c r="B44">
        <f t="array" ref="B44:I48">LINEST(B3:B30,D3:J30,1,1)</f>
        <v>66147.058980996109</v>
      </c>
      <c r="C44">
        <v>170220.43465022949</v>
      </c>
      <c r="D44">
        <v>184244.85388597663</v>
      </c>
      <c r="E44">
        <v>219984.5167529493</v>
      </c>
      <c r="F44">
        <v>214439.92325114773</v>
      </c>
      <c r="G44">
        <v>212492.16688237325</v>
      </c>
      <c r="H44">
        <v>45924.410190039009</v>
      </c>
      <c r="I44">
        <v>220953.86759420499</v>
      </c>
    </row>
    <row r="45" spans="1:12" x14ac:dyDescent="0.4">
      <c r="B45">
        <v>38358.420016329343</v>
      </c>
      <c r="C45">
        <v>38396.346485541246</v>
      </c>
      <c r="D45">
        <v>38408.385879526177</v>
      </c>
      <c r="E45">
        <v>38597.666261214486</v>
      </c>
      <c r="F45">
        <v>39329.054478504018</v>
      </c>
      <c r="G45">
        <v>39837.361054051347</v>
      </c>
      <c r="H45">
        <v>3310.4681246225991</v>
      </c>
      <c r="I45">
        <v>53628.050972854078</v>
      </c>
      <c r="L45" t="s">
        <v>46</v>
      </c>
    </row>
    <row r="46" spans="1:12" x14ac:dyDescent="0.4">
      <c r="B46">
        <v>0.9441625854542135</v>
      </c>
      <c r="C46">
        <v>54244.97753999156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</row>
    <row r="47" spans="1:12" x14ac:dyDescent="0.4">
      <c r="B47">
        <v>48.311824767602957</v>
      </c>
      <c r="C47">
        <v>20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L47" t="s">
        <v>51</v>
      </c>
    </row>
    <row r="48" spans="1:12" x14ac:dyDescent="0.4">
      <c r="B48">
        <v>995108758715.57324</v>
      </c>
      <c r="C48">
        <v>58850351766.283775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</row>
    <row r="50" spans="1:16" x14ac:dyDescent="0.4">
      <c r="B50" t="str">
        <f>INDEX($C2:$K2,1,I32)</f>
        <v>Temp</v>
      </c>
      <c r="C50" t="str">
        <f>INDEX($C2:$K2,1,J32)</f>
        <v>Intercetta</v>
      </c>
    </row>
    <row r="51" spans="1:16" ht="24.6" x14ac:dyDescent="0.4">
      <c r="A51" s="2" t="s">
        <v>60</v>
      </c>
      <c r="B51">
        <f t="array" ref="B51:C55">LINEST(B3:B30,D3:D30,1,1)</f>
        <v>51976.185564494481</v>
      </c>
      <c r="C51">
        <v>281622.31263022509</v>
      </c>
    </row>
    <row r="52" spans="1:16" x14ac:dyDescent="0.4">
      <c r="A52" s="2"/>
      <c r="B52">
        <v>5290.9700701178235</v>
      </c>
      <c r="C52">
        <v>82181.691057090473</v>
      </c>
    </row>
    <row r="53" spans="1:16" x14ac:dyDescent="0.4">
      <c r="A53" s="2"/>
      <c r="B53">
        <v>0.78775929278420986</v>
      </c>
      <c r="C53">
        <v>92755.474021585484</v>
      </c>
    </row>
    <row r="54" spans="1:16" x14ac:dyDescent="0.4">
      <c r="B54">
        <v>96.502418791722079</v>
      </c>
      <c r="C54">
        <v>26</v>
      </c>
    </row>
    <row r="55" spans="1:16" x14ac:dyDescent="0.4">
      <c r="B55">
        <v>830266083496.6626</v>
      </c>
      <c r="C55" s="18">
        <v>223693026985.19449</v>
      </c>
      <c r="O55" t="s">
        <v>38</v>
      </c>
    </row>
    <row r="57" spans="1:16" x14ac:dyDescent="0.4">
      <c r="A57" t="s">
        <v>37</v>
      </c>
      <c r="C57">
        <f>(C55-C48)/(C54-C47)</f>
        <v>27473779203.151783</v>
      </c>
    </row>
    <row r="58" spans="1:16" ht="17.399999999999999" x14ac:dyDescent="0.55000000000000004">
      <c r="A58" t="s">
        <v>36</v>
      </c>
      <c r="C58">
        <f>C48/C47</f>
        <v>2942517588.314189</v>
      </c>
      <c r="P58" s="3" t="s">
        <v>47</v>
      </c>
    </row>
    <row r="60" spans="1:16" x14ac:dyDescent="0.4">
      <c r="A60" t="s">
        <v>35</v>
      </c>
      <c r="C60">
        <f>C57/C58</f>
        <v>9.3368275222075763</v>
      </c>
      <c r="P60" t="s">
        <v>52</v>
      </c>
    </row>
    <row r="62" spans="1:16" x14ac:dyDescent="0.4">
      <c r="A62" t="s">
        <v>39</v>
      </c>
      <c r="C62">
        <f>FDIST(C60,C54-C47,C47)</f>
        <v>6.0735776167898881E-5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Grafici</vt:lpstr>
      </vt:variant>
      <vt:variant>
        <vt:i4>2</vt:i4>
      </vt:variant>
    </vt:vector>
  </HeadingPairs>
  <TitlesOfParts>
    <vt:vector size="6" baseType="lpstr">
      <vt:lpstr>testo</vt:lpstr>
      <vt:lpstr>dataD</vt:lpstr>
      <vt:lpstr>data</vt:lpstr>
      <vt:lpstr>STAG-SOMMA0</vt:lpstr>
      <vt:lpstr>Grafico1</vt:lpstr>
      <vt:lpstr>y+dest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Marco RIANI</cp:lastModifiedBy>
  <cp:lastPrinted>2007-04-03T16:02:49Z</cp:lastPrinted>
  <dcterms:created xsi:type="dcterms:W3CDTF">1996-11-05T10:16:36Z</dcterms:created>
  <dcterms:modified xsi:type="dcterms:W3CDTF">2026-01-06T17:01:05Z</dcterms:modified>
</cp:coreProperties>
</file>
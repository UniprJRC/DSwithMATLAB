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oks\DataScienceWithMatlab\matlabMfilesUK\Book2ch4RegressionExt\"/>
    </mc:Choice>
  </mc:AlternateContent>
  <xr:revisionPtr revIDLastSave="0" documentId="13_ncr:1_{5E849158-A729-40CE-A54D-00B7AE579630}" xr6:coauthVersionLast="47" xr6:coauthVersionMax="47" xr10:uidLastSave="{00000000-0000-0000-0000-000000000000}"/>
  <bookViews>
    <workbookView xWindow="-96" yWindow="-96" windowWidth="23232" windowHeight="12432" xr2:uid="{B5D64D5B-A763-489F-A9D0-FEE386A4DA35}"/>
  </bookViews>
  <sheets>
    <sheet name="data" sheetId="3" r:id="rId1"/>
  </sheets>
  <definedNames>
    <definedName name="aa">#REF!,#REF!</definedName>
    <definedName name="lny">data!$L$2:$L$81</definedName>
    <definedName name="X" localSheetId="0">data!$A$2:$J$81</definedName>
    <definedName name="X">#REF!</definedName>
    <definedName name="xstep1">data!$B$2:$J$81</definedName>
    <definedName name="Xstep2">data!$D$87:$K$166</definedName>
    <definedName name="xstep3">data!$D$172:$J$251</definedName>
    <definedName name="xstep4">data!$D$258:$I$337</definedName>
    <definedName name="xstep5">data!$D$343:$H$422</definedName>
    <definedName name="y" localSheetId="0">data!$K$2:$K$81</definedName>
    <definedName name="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8" i="3" l="1" a="1"/>
  <c r="Q28" i="3" s="1"/>
  <c r="P27" i="3"/>
  <c r="Q27" i="3"/>
  <c r="R27" i="3"/>
  <c r="S27" i="3"/>
  <c r="T27" i="3"/>
  <c r="U27" i="3"/>
  <c r="V27" i="3"/>
  <c r="W27" i="3"/>
  <c r="X27" i="3"/>
  <c r="O27" i="3"/>
  <c r="L2" i="3"/>
  <c r="L3" i="3"/>
  <c r="L4" i="3"/>
  <c r="L5" i="3"/>
  <c r="L6" i="3"/>
  <c r="L7" i="3"/>
  <c r="L8" i="3"/>
  <c r="L9" i="3"/>
  <c r="L10" i="3"/>
  <c r="L11" i="3"/>
  <c r="L12" i="3"/>
  <c r="O67" i="3" s="1" a="1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O41" i="3" a="1"/>
  <c r="S44" i="3" s="1"/>
  <c r="O54" i="3" a="1"/>
  <c r="O58" i="3" s="1"/>
  <c r="O31" i="3" l="1"/>
  <c r="X30" i="3"/>
  <c r="W30" i="3"/>
  <c r="V30" i="3"/>
  <c r="R31" i="3"/>
  <c r="Q31" i="3"/>
  <c r="U30" i="3"/>
  <c r="O30" i="3"/>
  <c r="P28" i="3"/>
  <c r="O28" i="3"/>
  <c r="P31" i="3"/>
  <c r="T30" i="3"/>
  <c r="S30" i="3"/>
  <c r="R30" i="3"/>
  <c r="Q30" i="3"/>
  <c r="P30" i="3"/>
  <c r="X29" i="3"/>
  <c r="W29" i="3"/>
  <c r="X32" i="3"/>
  <c r="V29" i="3"/>
  <c r="W32" i="3"/>
  <c r="U29" i="3"/>
  <c r="V32" i="3"/>
  <c r="T29" i="3"/>
  <c r="U32" i="3"/>
  <c r="S29" i="3"/>
  <c r="T32" i="3"/>
  <c r="R29" i="3"/>
  <c r="S32" i="3"/>
  <c r="Q29" i="3"/>
  <c r="R32" i="3"/>
  <c r="P29" i="3"/>
  <c r="Q32" i="3"/>
  <c r="O29" i="3"/>
  <c r="P32" i="3"/>
  <c r="X28" i="3"/>
  <c r="O32" i="3"/>
  <c r="W28" i="3"/>
  <c r="X31" i="3"/>
  <c r="V28" i="3"/>
  <c r="W31" i="3"/>
  <c r="U28" i="3"/>
  <c r="V31" i="3"/>
  <c r="T28" i="3"/>
  <c r="U31" i="3"/>
  <c r="S28" i="3"/>
  <c r="T31" i="3"/>
  <c r="R28" i="3"/>
  <c r="S31" i="3"/>
  <c r="U57" i="3"/>
  <c r="T56" i="3"/>
  <c r="R57" i="3"/>
  <c r="V57" i="3"/>
  <c r="T58" i="3"/>
  <c r="V58" i="3"/>
  <c r="O54" i="3"/>
  <c r="Q54" i="3"/>
  <c r="S54" i="3"/>
  <c r="S59" i="3" s="1"/>
  <c r="U54" i="3"/>
  <c r="U55" i="3"/>
  <c r="V55" i="3"/>
  <c r="S58" i="3"/>
  <c r="P56" i="3"/>
  <c r="U58" i="3"/>
  <c r="R56" i="3"/>
  <c r="T54" i="3"/>
  <c r="V54" i="3"/>
  <c r="V59" i="3" s="1"/>
  <c r="V60" i="3" s="1"/>
  <c r="Q55" i="3"/>
  <c r="S57" i="3"/>
  <c r="P55" i="3"/>
  <c r="O55" i="3"/>
  <c r="R55" i="3"/>
  <c r="O56" i="3"/>
  <c r="R95" i="3" s="1"/>
  <c r="T55" i="3"/>
  <c r="V56" i="3"/>
  <c r="P57" i="3"/>
  <c r="S56" i="3"/>
  <c r="T57" i="3"/>
  <c r="P58" i="3"/>
  <c r="R58" i="3"/>
  <c r="S55" i="3"/>
  <c r="Q56" i="3"/>
  <c r="U56" i="3"/>
  <c r="O57" i="3"/>
  <c r="Q57" i="3"/>
  <c r="P54" i="3"/>
  <c r="R54" i="3"/>
  <c r="W44" i="3"/>
  <c r="Q44" i="3"/>
  <c r="Q71" i="3"/>
  <c r="U71" i="3"/>
  <c r="R67" i="3"/>
  <c r="T67" i="3"/>
  <c r="S68" i="3"/>
  <c r="S69" i="3"/>
  <c r="U69" i="3"/>
  <c r="R70" i="3"/>
  <c r="P70" i="3"/>
  <c r="O68" i="3"/>
  <c r="Q68" i="3"/>
  <c r="S67" i="3"/>
  <c r="S72" i="3" s="1"/>
  <c r="P68" i="3"/>
  <c r="R68" i="3"/>
  <c r="U68" i="3"/>
  <c r="P69" i="3"/>
  <c r="T69" i="3"/>
  <c r="R71" i="3"/>
  <c r="R69" i="3"/>
  <c r="U70" i="3"/>
  <c r="O70" i="3"/>
  <c r="P71" i="3"/>
  <c r="Q70" i="3"/>
  <c r="S70" i="3"/>
  <c r="O67" i="3"/>
  <c r="T71" i="3"/>
  <c r="Q67" i="3"/>
  <c r="U67" i="3"/>
  <c r="T70" i="3"/>
  <c r="O71" i="3"/>
  <c r="S71" i="3"/>
  <c r="P67" i="3"/>
  <c r="R45" i="3"/>
  <c r="P45" i="3"/>
  <c r="Q69" i="3"/>
  <c r="Q58" i="3"/>
  <c r="O69" i="3"/>
  <c r="R96" i="3" s="1"/>
  <c r="T68" i="3"/>
  <c r="P42" i="3"/>
  <c r="O42" i="3"/>
  <c r="T42" i="3"/>
  <c r="U42" i="3"/>
  <c r="W42" i="3"/>
  <c r="Q43" i="3"/>
  <c r="R43" i="3"/>
  <c r="U43" i="3"/>
  <c r="T43" i="3"/>
  <c r="W43" i="3"/>
  <c r="V43" i="3"/>
  <c r="P44" i="3"/>
  <c r="U44" i="3"/>
  <c r="O45" i="3"/>
  <c r="P41" i="3"/>
  <c r="P46" i="3" s="1"/>
  <c r="R41" i="3"/>
  <c r="R46" i="3" s="1"/>
  <c r="U41" i="3"/>
  <c r="S41" i="3"/>
  <c r="W41" i="3"/>
  <c r="O43" i="3"/>
  <c r="R94" i="3" s="1"/>
  <c r="S45" i="3"/>
  <c r="P43" i="3"/>
  <c r="O44" i="3"/>
  <c r="R42" i="3"/>
  <c r="T41" i="3"/>
  <c r="V42" i="3"/>
  <c r="S43" i="3"/>
  <c r="W45" i="3"/>
  <c r="R44" i="3"/>
  <c r="T44" i="3"/>
  <c r="V44" i="3"/>
  <c r="Q45" i="3"/>
  <c r="U45" i="3"/>
  <c r="V41" i="3"/>
  <c r="V46" i="3" s="1"/>
  <c r="Q42" i="3"/>
  <c r="S42" i="3"/>
  <c r="T45" i="3"/>
  <c r="V45" i="3"/>
  <c r="O41" i="3"/>
  <c r="O46" i="3" s="1"/>
  <c r="Q41" i="3"/>
  <c r="Q46" i="3" s="1"/>
  <c r="O79" i="3" a="1"/>
  <c r="U46" i="3" l="1"/>
  <c r="U47" i="3" s="1"/>
  <c r="O83" i="3"/>
  <c r="P79" i="3"/>
  <c r="R80" i="3"/>
  <c r="T80" i="3"/>
  <c r="P81" i="3"/>
  <c r="R81" i="3"/>
  <c r="T81" i="3"/>
  <c r="P82" i="3"/>
  <c r="O79" i="3"/>
  <c r="O84" i="3" s="1"/>
  <c r="O85" i="3" s="1"/>
  <c r="R83" i="3"/>
  <c r="O82" i="3"/>
  <c r="Q82" i="3"/>
  <c r="S82" i="3"/>
  <c r="Q81" i="3"/>
  <c r="S81" i="3"/>
  <c r="S83" i="3"/>
  <c r="R79" i="3"/>
  <c r="R84" i="3" s="1"/>
  <c r="R85" i="3" s="1"/>
  <c r="T79" i="3"/>
  <c r="T84" i="3" s="1"/>
  <c r="T85" i="3" s="1"/>
  <c r="T82" i="3"/>
  <c r="P80" i="3"/>
  <c r="R82" i="3"/>
  <c r="P83" i="3"/>
  <c r="T83" i="3"/>
  <c r="Q80" i="3"/>
  <c r="S80" i="3"/>
  <c r="O81" i="3"/>
  <c r="R97" i="3" s="1"/>
  <c r="Q83" i="3"/>
  <c r="Q79" i="3"/>
  <c r="S79" i="3"/>
  <c r="O80" i="3"/>
  <c r="Q47" i="3"/>
  <c r="R47" i="3"/>
  <c r="R93" i="3"/>
  <c r="S33" i="3"/>
  <c r="S34" i="3" s="1"/>
  <c r="V33" i="3"/>
  <c r="V34" i="3" s="1"/>
  <c r="P47" i="3"/>
  <c r="S73" i="3"/>
  <c r="U59" i="3"/>
  <c r="U60" i="3" s="1"/>
  <c r="S60" i="3"/>
  <c r="O47" i="3"/>
  <c r="T59" i="3"/>
  <c r="T60" i="3" s="1"/>
  <c r="T72" i="3"/>
  <c r="T73" i="3" s="1"/>
  <c r="Q59" i="3"/>
  <c r="Q60" i="3" s="1"/>
  <c r="T46" i="3"/>
  <c r="T47" i="3" s="1"/>
  <c r="O59" i="3"/>
  <c r="O60" i="3" s="1"/>
  <c r="R59" i="3"/>
  <c r="R60" i="3" s="1"/>
  <c r="V47" i="3"/>
  <c r="R72" i="3"/>
  <c r="R73" i="3" s="1"/>
  <c r="P59" i="3"/>
  <c r="P60" i="3" s="1"/>
  <c r="U72" i="3"/>
  <c r="U73" i="3" s="1"/>
  <c r="P72" i="3"/>
  <c r="P73" i="3" s="1"/>
  <c r="Q72" i="3"/>
  <c r="Q73" i="3" s="1"/>
  <c r="W46" i="3"/>
  <c r="W47" i="3" s="1"/>
  <c r="O72" i="3"/>
  <c r="O73" i="3" s="1"/>
  <c r="S46" i="3"/>
  <c r="S47" i="3" s="1"/>
  <c r="R33" i="3" l="1"/>
  <c r="R34" i="3" s="1"/>
  <c r="X33" i="3"/>
  <c r="X34" i="3" s="1"/>
  <c r="S84" i="3"/>
  <c r="S85" i="3" s="1"/>
  <c r="Q84" i="3"/>
  <c r="Q85" i="3" s="1"/>
  <c r="U33" i="3"/>
  <c r="U34" i="3" s="1"/>
  <c r="P84" i="3"/>
  <c r="P85" i="3" s="1"/>
  <c r="T33" i="3"/>
  <c r="T34" i="3" s="1"/>
  <c r="W33" i="3"/>
  <c r="W34" i="3" s="1"/>
  <c r="Q33" i="3"/>
  <c r="Q34" i="3" s="1"/>
  <c r="P33" i="3"/>
  <c r="P34" i="3" s="1"/>
  <c r="O33" i="3"/>
  <c r="O3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</author>
  </authors>
  <commentList>
    <comment ref="P34" authorId="0" shapeId="0" xr:uid="{E3F30623-6E02-45DE-99C5-7125C2B1732C}">
      <text>
        <r>
          <rPr>
            <b/>
            <sz val="10"/>
            <color indexed="81"/>
            <rFont val="Tahoma"/>
          </rPr>
          <t>Marco:</t>
        </r>
        <r>
          <rPr>
            <sz val="10"/>
            <color indexed="81"/>
            <rFont val="Tahoma"/>
          </rPr>
          <t xml:space="preserve">
Variabile meno significativa (da rimuovere)</t>
        </r>
      </text>
    </comment>
    <comment ref="S47" authorId="0" shapeId="0" xr:uid="{2DA1B70A-09B7-45C9-8747-FE464E57B93E}">
      <text>
        <r>
          <rPr>
            <b/>
            <sz val="10"/>
            <color indexed="81"/>
            <rFont val="Tahoma"/>
          </rPr>
          <t>Marco: variabile meno significativa (da rimuovere)</t>
        </r>
        <r>
          <rPr>
            <sz val="10"/>
            <color indexed="81"/>
            <rFont val="Tahoma"/>
          </rPr>
          <t xml:space="preserve">
</t>
        </r>
      </text>
    </comment>
    <comment ref="T60" authorId="0" shapeId="0" xr:uid="{3C3C1D40-AFCA-4455-ADB4-71C7FD77EA76}">
      <text>
        <r>
          <rPr>
            <b/>
            <sz val="10"/>
            <color indexed="81"/>
            <rFont val="Tahoma"/>
          </rPr>
          <t>Marco:</t>
        </r>
        <r>
          <rPr>
            <sz val="10"/>
            <color indexed="81"/>
            <rFont val="Tahoma"/>
          </rPr>
          <t xml:space="preserve">
Marco: variabile meno significativa (da rimuovere)</t>
        </r>
      </text>
    </comment>
    <comment ref="R73" authorId="0" shapeId="0" xr:uid="{ADBA0475-D8EF-4C28-9D27-86890D7C23E5}">
      <text>
        <r>
          <rPr>
            <b/>
            <sz val="10"/>
            <color indexed="81"/>
            <rFont val="Tahoma"/>
          </rPr>
          <t>Marco: variabile meno significativa (da rimuovere)</t>
        </r>
        <r>
          <rPr>
            <sz val="10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<sst xmlns="http://schemas.openxmlformats.org/spreadsheetml/2006/main" count="112" uniqueCount="44">
  <si>
    <t>Intercetta</t>
  </si>
  <si>
    <t>X1</t>
  </si>
  <si>
    <t>X2</t>
  </si>
  <si>
    <t>X3</t>
  </si>
  <si>
    <t>X4</t>
  </si>
  <si>
    <t>X6</t>
  </si>
  <si>
    <t>X7</t>
  </si>
  <si>
    <t>X8</t>
  </si>
  <si>
    <t>X9</t>
  </si>
  <si>
    <t>X5</t>
  </si>
  <si>
    <t>test t</t>
  </si>
  <si>
    <t>p-values</t>
  </si>
  <si>
    <t>ln(y)</t>
  </si>
  <si>
    <t>STEP 2 (senza X8)</t>
  </si>
  <si>
    <t>Step 3 senza X4 e X8</t>
  </si>
  <si>
    <t>Step 4 senza X2 X4 e X8</t>
  </si>
  <si>
    <t>Step 5 senza X2 X4 X5 e X8</t>
  </si>
  <si>
    <t>FINE DELLA PROCEDURA BACKWARD DI SELEZIONE DELLE VARIABILI</t>
  </si>
  <si>
    <t>TUTTE LE VARIABILI RIMASTE SONO SIGNIFICATIVE AL 5%</t>
  </si>
  <si>
    <t xml:space="preserve">Numero di variabili inserite nel modello </t>
  </si>
  <si>
    <t>R2</t>
  </si>
  <si>
    <t xml:space="preserve">PROCEDURA BACKWARD </t>
  </si>
  <si>
    <t>PROCEDURA BACKWARD DI SELEZIONE DELLE VARIABILI</t>
  </si>
  <si>
    <t>PASSO 1: modello di regressione su tutte le variabili (originali)</t>
  </si>
  <si>
    <t>lny</t>
  </si>
  <si>
    <t>=Risposta11!$L$2:$L$81</t>
  </si>
  <si>
    <t>X</t>
  </si>
  <si>
    <t>=Risposta11!$A$2:$J$81</t>
  </si>
  <si>
    <t>xstep1</t>
  </si>
  <si>
    <t>=Risposta11!$B$2:$J$81</t>
  </si>
  <si>
    <t>=Risposta11!$D$87:$K$166</t>
  </si>
  <si>
    <t>xstep3</t>
  </si>
  <si>
    <t>=Risposta11!$D$172:$J$251</t>
  </si>
  <si>
    <t>xstep4</t>
  </si>
  <si>
    <t>=Risposta11!$D$258:$I$337</t>
  </si>
  <si>
    <t>xstep5</t>
  </si>
  <si>
    <t>=Risposta11!$D$343:$H$422</t>
  </si>
  <si>
    <t>y</t>
  </si>
  <si>
    <t>=Risposta11!$K$2:$K$81</t>
  </si>
  <si>
    <t>Zona che contiene le variabili esplicative senza l'intercetta</t>
  </si>
  <si>
    <t>xstep2</t>
  </si>
  <si>
    <t>NOME</t>
  </si>
  <si>
    <t>ZONA</t>
  </si>
  <si>
    <t>Zona che contiene le variabili esplicative (inclusa l'intercetta)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</si>
</sst>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name val="Arial"/>
    </font>
    <font>
      <b/>
      <sz val="14"/>
      <name val="Arial"/>
      <family val="2"/>
    </font>
    <font>
      <sz val="8"/>
      <name val="Arial"/>
    </font>
    <font>
      <sz val="20"/>
      <name val="Arial"/>
    </font>
    <font>
      <b/>
      <sz val="16"/>
      <name val="Arial"/>
      <family val="2"/>
    </font>
    <font>
      <sz val="10"/>
      <color indexed="81"/>
      <name val="Tahoma"/>
    </font>
    <font>
      <b/>
      <sz val="10"/>
      <color indexed="81"/>
      <name val="Tahoma"/>
    </font>
    <font>
      <sz val="16"/>
      <name val="Arial"/>
    </font>
    <font>
      <sz val="48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0" fillId="0" borderId="0" xfId="0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7" fillId="0" borderId="0" xfId="0" applyFont="1"/>
    <xf numFmtId="0" fontId="9" fillId="0" borderId="0" xfId="0" applyFont="1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164" fontId="8" fillId="0" borderId="0" xfId="0" applyNumberFormat="1" applyFont="1" applyAlignment="1">
      <alignment horizont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Evoluzione del coefficiente di determinazione nei diversi passi della procedura backward</a:t>
            </a:r>
          </a:p>
        </c:rich>
      </c:tx>
      <c:layout>
        <c:manualLayout>
          <c:xMode val="edge"/>
          <c:yMode val="edge"/>
          <c:x val="0.12023475804527366"/>
          <c:y val="3.48101265822784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62767096120596"/>
          <c:y val="0.27848144296603505"/>
          <c:w val="0.83284517105964984"/>
          <c:h val="0.50316533444999512"/>
        </c:manualLayout>
      </c:layout>
      <c:lineChart>
        <c:grouping val="standard"/>
        <c:varyColors val="0"/>
        <c:ser>
          <c:idx val="0"/>
          <c:order val="0"/>
          <c:tx>
            <c:strRef>
              <c:f>data!$R$92</c:f>
              <c:strCache>
                <c:ptCount val="1"/>
                <c:pt idx="0">
                  <c:v>R2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data!$Q$93:$Q$97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</c:numCache>
            </c:numRef>
          </c:cat>
          <c:val>
            <c:numRef>
              <c:f>data!$R$93:$R$97</c:f>
              <c:numCache>
                <c:formatCode>General</c:formatCode>
                <c:ptCount val="5"/>
                <c:pt idx="0">
                  <c:v>0.69615488965795225</c:v>
                </c:pt>
                <c:pt idx="1">
                  <c:v>0.69557032247992645</c:v>
                </c:pt>
                <c:pt idx="2">
                  <c:v>0.69337877791905422</c:v>
                </c:pt>
                <c:pt idx="3">
                  <c:v>0.68908278580043103</c:v>
                </c:pt>
                <c:pt idx="4">
                  <c:v>0.6776758641081958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E-48E1-92E4-781A2C6F1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33056"/>
        <c:axId val="1"/>
      </c:lineChart>
      <c:catAx>
        <c:axId val="60333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Numero di variabili inserite nel modello</a:t>
                </a:r>
              </a:p>
            </c:rich>
          </c:tx>
          <c:layout>
            <c:manualLayout>
              <c:xMode val="edge"/>
              <c:yMode val="edge"/>
              <c:x val="0.37536687679435965"/>
              <c:y val="0.879748164390843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0.6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Indice di determinazione (R2)</a:t>
                </a:r>
              </a:p>
            </c:rich>
          </c:tx>
          <c:layout>
            <c:manualLayout>
              <c:xMode val="edge"/>
              <c:yMode val="edge"/>
              <c:x val="2.3460410557184751E-2"/>
              <c:y val="0.272152230971128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60333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518160</xdr:colOff>
      <xdr:row>99</xdr:row>
      <xdr:rowOff>0</xdr:rowOff>
    </xdr:from>
    <xdr:to>
      <xdr:col>21</xdr:col>
      <xdr:colOff>323850</xdr:colOff>
      <xdr:row>117</xdr:row>
      <xdr:rowOff>91440</xdr:rowOff>
    </xdr:to>
    <xdr:graphicFrame macro="">
      <xdr:nvGraphicFramePr>
        <xdr:cNvPr id="3104" name="Chart 29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1253490</xdr:colOff>
          <xdr:row>83</xdr:row>
          <xdr:rowOff>0</xdr:rowOff>
        </xdr:from>
        <xdr:to>
          <xdr:col>8</xdr:col>
          <xdr:colOff>1009650</xdr:colOff>
          <xdr:row>83</xdr:row>
          <xdr:rowOff>0</xdr:rowOff>
        </xdr:to>
        <xdr:sp macro="" textlink="">
          <xdr:nvSpPr>
            <xdr:cNvPr id="3084" name="Object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1173480</xdr:colOff>
          <xdr:row>83</xdr:row>
          <xdr:rowOff>0</xdr:rowOff>
        </xdr:from>
        <xdr:to>
          <xdr:col>2</xdr:col>
          <xdr:colOff>1996440</xdr:colOff>
          <xdr:row>83</xdr:row>
          <xdr:rowOff>0</xdr:rowOff>
        </xdr:to>
        <xdr:sp macro="" textlink="">
          <xdr:nvSpPr>
            <xdr:cNvPr id="3085" name="Object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87630</xdr:colOff>
          <xdr:row>83</xdr:row>
          <xdr:rowOff>0</xdr:rowOff>
        </xdr:from>
        <xdr:to>
          <xdr:col>13</xdr:col>
          <xdr:colOff>99060</xdr:colOff>
          <xdr:row>83</xdr:row>
          <xdr:rowOff>0</xdr:rowOff>
        </xdr:to>
        <xdr:sp macro="" textlink="">
          <xdr:nvSpPr>
            <xdr:cNvPr id="3086" name="Object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1154430</xdr:colOff>
          <xdr:row>83</xdr:row>
          <xdr:rowOff>0</xdr:rowOff>
        </xdr:from>
        <xdr:to>
          <xdr:col>4</xdr:col>
          <xdr:colOff>822960</xdr:colOff>
          <xdr:row>83</xdr:row>
          <xdr:rowOff>0</xdr:rowOff>
        </xdr:to>
        <xdr:sp macro="" textlink="">
          <xdr:nvSpPr>
            <xdr:cNvPr id="3087" name="Object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556260</xdr:colOff>
          <xdr:row>83</xdr:row>
          <xdr:rowOff>0</xdr:rowOff>
        </xdr:from>
        <xdr:to>
          <xdr:col>2</xdr:col>
          <xdr:colOff>1996440</xdr:colOff>
          <xdr:row>83</xdr:row>
          <xdr:rowOff>0</xdr:rowOff>
        </xdr:to>
        <xdr:sp macro="" textlink="">
          <xdr:nvSpPr>
            <xdr:cNvPr id="3088" name="Object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864870</xdr:colOff>
          <xdr:row>83</xdr:row>
          <xdr:rowOff>0</xdr:rowOff>
        </xdr:from>
        <xdr:to>
          <xdr:col>4</xdr:col>
          <xdr:colOff>979170</xdr:colOff>
          <xdr:row>83</xdr:row>
          <xdr:rowOff>0</xdr:rowOff>
        </xdr:to>
        <xdr:sp macro="" textlink="">
          <xdr:nvSpPr>
            <xdr:cNvPr id="3089" name="Object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834390</xdr:colOff>
          <xdr:row>83</xdr:row>
          <xdr:rowOff>0</xdr:rowOff>
        </xdr:from>
        <xdr:to>
          <xdr:col>4</xdr:col>
          <xdr:colOff>1066800</xdr:colOff>
          <xdr:row>83</xdr:row>
          <xdr:rowOff>0</xdr:rowOff>
        </xdr:to>
        <xdr:sp macro="" textlink="">
          <xdr:nvSpPr>
            <xdr:cNvPr id="3090" name="Object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emf"/><Relationship Id="rId1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DA748-F5D4-4820-84D7-3655F7E1D865}">
  <dimension ref="B1:Z422"/>
  <sheetViews>
    <sheetView tabSelected="1" workbookViewId="0">
      <selection activeCell="B22" sqref="B22"/>
    </sheetView>
  </sheetViews>
  <sheetFormatPr defaultRowHeight="12.3" x14ac:dyDescent="0.4"/>
  <cols>
    <col min="2" max="2" width="18.44140625" customWidth="1"/>
    <col min="3" max="3" width="29.83203125" customWidth="1"/>
    <col min="4" max="11" width="18.44140625" customWidth="1"/>
    <col min="12" max="12" width="12.44140625" bestFit="1" customWidth="1"/>
    <col min="13" max="13" width="12.1640625" customWidth="1"/>
    <col min="14" max="14" width="12.5546875" bestFit="1" customWidth="1"/>
    <col min="15" max="15" width="11.1640625" bestFit="1" customWidth="1"/>
    <col min="16" max="16" width="12.83203125" bestFit="1" customWidth="1"/>
    <col min="17" max="17" width="13" bestFit="1" customWidth="1"/>
    <col min="18" max="18" width="11.5546875" bestFit="1" customWidth="1"/>
    <col min="19" max="19" width="13.1640625" bestFit="1" customWidth="1"/>
    <col min="20" max="20" width="13.27734375" bestFit="1" customWidth="1"/>
    <col min="21" max="21" width="12.71875" bestFit="1" customWidth="1"/>
    <col min="22" max="22" width="10.83203125" bestFit="1" customWidth="1"/>
    <col min="23" max="23" width="9.83203125" bestFit="1" customWidth="1"/>
    <col min="24" max="24" width="9.27734375" bestFit="1" customWidth="1"/>
  </cols>
  <sheetData>
    <row r="1" spans="2:26" s="1" customFormat="1" ht="58.5" customHeight="1" x14ac:dyDescent="0.6"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37</v>
      </c>
      <c r="L1" s="1" t="s">
        <v>12</v>
      </c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2:26" x14ac:dyDescent="0.4">
      <c r="B2">
        <v>1</v>
      </c>
      <c r="C2">
        <v>40</v>
      </c>
      <c r="D2">
        <v>2693</v>
      </c>
      <c r="E2">
        <v>-25</v>
      </c>
      <c r="F2">
        <v>250</v>
      </c>
      <c r="G2">
        <v>5710</v>
      </c>
      <c r="H2">
        <v>28</v>
      </c>
      <c r="I2">
        <v>47.66</v>
      </c>
      <c r="J2">
        <v>4</v>
      </c>
      <c r="K2">
        <v>3</v>
      </c>
      <c r="L2">
        <f>LN(K2)</f>
        <v>1.0986122886681098</v>
      </c>
    </row>
    <row r="3" spans="2:26" x14ac:dyDescent="0.4">
      <c r="B3">
        <v>2</v>
      </c>
      <c r="C3">
        <v>45</v>
      </c>
      <c r="D3">
        <v>590</v>
      </c>
      <c r="E3">
        <v>-24</v>
      </c>
      <c r="F3">
        <v>100</v>
      </c>
      <c r="G3">
        <v>5700</v>
      </c>
      <c r="H3">
        <v>37</v>
      </c>
      <c r="I3">
        <v>55.04</v>
      </c>
      <c r="J3">
        <v>3</v>
      </c>
      <c r="K3">
        <v>5</v>
      </c>
      <c r="L3">
        <f t="shared" ref="L3:L66" si="0">LN(K3)</f>
        <v>1.6094379124341003</v>
      </c>
      <c r="N3" s="4"/>
      <c r="O3" s="4"/>
      <c r="P3" s="4"/>
      <c r="Q3" s="4"/>
      <c r="R3" s="4"/>
      <c r="S3" s="4"/>
      <c r="T3" s="4"/>
      <c r="U3" s="4"/>
      <c r="V3" s="4"/>
      <c r="W3" s="4"/>
    </row>
    <row r="4" spans="2:26" x14ac:dyDescent="0.4">
      <c r="B4">
        <v>3</v>
      </c>
      <c r="C4">
        <v>54</v>
      </c>
      <c r="D4">
        <v>1450</v>
      </c>
      <c r="E4">
        <v>25</v>
      </c>
      <c r="F4">
        <v>60</v>
      </c>
      <c r="G4">
        <v>5760</v>
      </c>
      <c r="H4">
        <v>51</v>
      </c>
      <c r="I4">
        <v>57.02</v>
      </c>
      <c r="J4">
        <v>3</v>
      </c>
      <c r="K4">
        <v>5</v>
      </c>
      <c r="L4">
        <f t="shared" si="0"/>
        <v>1.6094379124341003</v>
      </c>
      <c r="N4" s="4"/>
      <c r="O4" s="4"/>
      <c r="P4" s="4"/>
      <c r="Q4" s="4"/>
      <c r="R4" s="4"/>
      <c r="S4" s="4"/>
      <c r="T4" s="4"/>
      <c r="U4" s="4"/>
      <c r="V4" s="4"/>
      <c r="W4" s="4"/>
    </row>
    <row r="5" spans="2:26" ht="20.100000000000001" x14ac:dyDescent="0.7">
      <c r="B5">
        <v>4</v>
      </c>
      <c r="C5">
        <v>35</v>
      </c>
      <c r="D5">
        <v>1568</v>
      </c>
      <c r="E5">
        <v>15</v>
      </c>
      <c r="F5">
        <v>60</v>
      </c>
      <c r="G5">
        <v>5720</v>
      </c>
      <c r="H5">
        <v>69</v>
      </c>
      <c r="I5">
        <v>53.78</v>
      </c>
      <c r="J5">
        <v>4</v>
      </c>
      <c r="K5">
        <v>6</v>
      </c>
      <c r="L5">
        <f t="shared" si="0"/>
        <v>1.791759469228055</v>
      </c>
      <c r="M5" s="2"/>
      <c r="N5" s="4"/>
      <c r="O5" s="13" t="s">
        <v>21</v>
      </c>
      <c r="P5" s="13"/>
      <c r="Q5" s="13"/>
      <c r="R5" s="13"/>
      <c r="S5" s="13"/>
      <c r="T5" s="13"/>
      <c r="U5" s="4"/>
      <c r="V5" s="4"/>
      <c r="W5" s="4"/>
    </row>
    <row r="6" spans="2:26" x14ac:dyDescent="0.4">
      <c r="B6">
        <v>5</v>
      </c>
      <c r="C6">
        <v>45</v>
      </c>
      <c r="D6">
        <v>2631</v>
      </c>
      <c r="E6">
        <v>-33</v>
      </c>
      <c r="F6">
        <v>100</v>
      </c>
      <c r="G6">
        <v>5790</v>
      </c>
      <c r="H6">
        <v>19</v>
      </c>
      <c r="I6">
        <v>54.14</v>
      </c>
      <c r="J6">
        <v>6</v>
      </c>
      <c r="K6">
        <v>4</v>
      </c>
      <c r="L6">
        <f t="shared" si="0"/>
        <v>1.3862943611198906</v>
      </c>
      <c r="N6" s="4"/>
      <c r="O6" s="13"/>
      <c r="P6" s="13"/>
      <c r="Q6" s="13"/>
      <c r="R6" s="13"/>
      <c r="S6" s="13"/>
      <c r="T6" s="13"/>
      <c r="U6" s="4"/>
      <c r="V6" s="4"/>
      <c r="W6" s="4"/>
    </row>
    <row r="7" spans="2:26" x14ac:dyDescent="0.4">
      <c r="B7">
        <v>6</v>
      </c>
      <c r="C7">
        <v>55</v>
      </c>
      <c r="D7">
        <v>554</v>
      </c>
      <c r="E7">
        <v>-28</v>
      </c>
      <c r="F7">
        <v>250</v>
      </c>
      <c r="G7">
        <v>5790</v>
      </c>
      <c r="H7">
        <v>25</v>
      </c>
      <c r="I7">
        <v>64.760000000000005</v>
      </c>
      <c r="J7">
        <v>3</v>
      </c>
      <c r="K7">
        <v>4</v>
      </c>
      <c r="L7">
        <f t="shared" si="0"/>
        <v>1.3862943611198906</v>
      </c>
      <c r="N7" s="4"/>
      <c r="O7" s="13"/>
      <c r="P7" s="13"/>
      <c r="Q7" s="13"/>
      <c r="R7" s="13"/>
      <c r="S7" s="13"/>
      <c r="T7" s="13"/>
      <c r="U7" s="4"/>
      <c r="V7" s="4"/>
      <c r="W7" s="4"/>
    </row>
    <row r="8" spans="2:26" x14ac:dyDescent="0.4">
      <c r="B8">
        <v>7</v>
      </c>
      <c r="C8">
        <v>41</v>
      </c>
      <c r="D8">
        <v>2083</v>
      </c>
      <c r="E8">
        <v>23</v>
      </c>
      <c r="F8">
        <v>120</v>
      </c>
      <c r="G8">
        <v>5700</v>
      </c>
      <c r="H8">
        <v>73</v>
      </c>
      <c r="I8">
        <v>52.52</v>
      </c>
      <c r="J8">
        <v>3</v>
      </c>
      <c r="K8">
        <v>6</v>
      </c>
      <c r="L8">
        <f t="shared" si="0"/>
        <v>1.791759469228055</v>
      </c>
      <c r="N8" s="4"/>
      <c r="O8" s="13"/>
      <c r="P8" s="13"/>
      <c r="Q8" s="13"/>
      <c r="R8" s="13"/>
      <c r="S8" s="13"/>
      <c r="T8" s="13"/>
      <c r="U8" s="4"/>
      <c r="V8" s="4"/>
      <c r="W8" s="4"/>
    </row>
    <row r="9" spans="2:26" ht="15" x14ac:dyDescent="0.5">
      <c r="B9">
        <v>8</v>
      </c>
      <c r="C9">
        <v>44</v>
      </c>
      <c r="D9">
        <v>2654</v>
      </c>
      <c r="E9">
        <v>-2</v>
      </c>
      <c r="F9">
        <v>120</v>
      </c>
      <c r="G9">
        <v>5700</v>
      </c>
      <c r="H9">
        <v>59</v>
      </c>
      <c r="I9">
        <v>48.38</v>
      </c>
      <c r="J9">
        <v>3</v>
      </c>
      <c r="K9">
        <v>7</v>
      </c>
      <c r="L9">
        <f t="shared" si="0"/>
        <v>1.9459101490553132</v>
      </c>
      <c r="N9" s="4"/>
      <c r="O9" s="13"/>
      <c r="P9" s="13"/>
      <c r="Q9" s="13"/>
      <c r="R9" s="13"/>
      <c r="S9" s="13"/>
      <c r="T9" s="13"/>
      <c r="U9" s="4"/>
      <c r="V9" s="10" t="s">
        <v>41</v>
      </c>
      <c r="W9" s="10" t="s">
        <v>42</v>
      </c>
    </row>
    <row r="10" spans="2:26" x14ac:dyDescent="0.4">
      <c r="B10">
        <v>9</v>
      </c>
      <c r="C10">
        <v>54</v>
      </c>
      <c r="D10">
        <v>5000</v>
      </c>
      <c r="E10">
        <v>-19</v>
      </c>
      <c r="F10">
        <v>120</v>
      </c>
      <c r="G10">
        <v>5770</v>
      </c>
      <c r="H10">
        <v>27</v>
      </c>
      <c r="I10">
        <v>48.56</v>
      </c>
      <c r="J10">
        <v>8</v>
      </c>
      <c r="K10">
        <v>4</v>
      </c>
      <c r="L10">
        <f t="shared" si="0"/>
        <v>1.3862943611198906</v>
      </c>
      <c r="N10" s="4"/>
      <c r="O10" s="13"/>
      <c r="P10" s="13"/>
      <c r="Q10" s="13"/>
      <c r="R10" s="13"/>
      <c r="S10" s="13"/>
      <c r="T10" s="13"/>
      <c r="U10" s="4"/>
      <c r="V10" t="s">
        <v>24</v>
      </c>
      <c r="W10" t="s">
        <v>25</v>
      </c>
    </row>
    <row r="11" spans="2:26" ht="20.100000000000001" x14ac:dyDescent="0.7">
      <c r="B11">
        <v>10</v>
      </c>
      <c r="C11">
        <v>51</v>
      </c>
      <c r="D11">
        <v>111</v>
      </c>
      <c r="E11">
        <v>9</v>
      </c>
      <c r="F11">
        <v>150</v>
      </c>
      <c r="G11">
        <v>5720</v>
      </c>
      <c r="H11">
        <v>44</v>
      </c>
      <c r="I11">
        <v>63.14</v>
      </c>
      <c r="J11">
        <v>3</v>
      </c>
      <c r="K11">
        <v>6</v>
      </c>
      <c r="L11">
        <f t="shared" si="0"/>
        <v>1.791759469228055</v>
      </c>
      <c r="M11" s="2"/>
      <c r="N11" s="4"/>
      <c r="O11" s="13"/>
      <c r="P11" s="13"/>
      <c r="Q11" s="13"/>
      <c r="R11" s="13"/>
      <c r="S11" s="13"/>
      <c r="T11" s="13"/>
      <c r="U11" s="4"/>
      <c r="V11" t="s">
        <v>26</v>
      </c>
      <c r="W11" t="s">
        <v>27</v>
      </c>
      <c r="Z11" t="s">
        <v>43</v>
      </c>
    </row>
    <row r="12" spans="2:26" x14ac:dyDescent="0.4">
      <c r="B12">
        <v>11</v>
      </c>
      <c r="C12">
        <v>51</v>
      </c>
      <c r="D12">
        <v>492</v>
      </c>
      <c r="E12">
        <v>-44</v>
      </c>
      <c r="F12">
        <v>40</v>
      </c>
      <c r="G12">
        <v>5760</v>
      </c>
      <c r="H12">
        <v>33</v>
      </c>
      <c r="I12">
        <v>64.58</v>
      </c>
      <c r="J12">
        <v>6</v>
      </c>
      <c r="K12">
        <v>5</v>
      </c>
      <c r="L12">
        <f t="shared" si="0"/>
        <v>1.6094379124341003</v>
      </c>
      <c r="N12" s="4"/>
      <c r="O12" s="13"/>
      <c r="P12" s="13"/>
      <c r="Q12" s="13"/>
      <c r="R12" s="13"/>
      <c r="S12" s="13"/>
      <c r="T12" s="13"/>
      <c r="U12" s="4"/>
      <c r="V12" t="s">
        <v>28</v>
      </c>
      <c r="W12" t="s">
        <v>29</v>
      </c>
      <c r="Z12" t="s">
        <v>39</v>
      </c>
    </row>
    <row r="13" spans="2:26" x14ac:dyDescent="0.4">
      <c r="B13">
        <v>12</v>
      </c>
      <c r="C13">
        <v>54</v>
      </c>
      <c r="D13">
        <v>5000</v>
      </c>
      <c r="E13">
        <v>-44</v>
      </c>
      <c r="F13">
        <v>200</v>
      </c>
      <c r="G13">
        <v>5780</v>
      </c>
      <c r="H13">
        <v>19</v>
      </c>
      <c r="I13">
        <v>56.3</v>
      </c>
      <c r="J13">
        <v>6</v>
      </c>
      <c r="K13">
        <v>4</v>
      </c>
      <c r="L13">
        <f t="shared" si="0"/>
        <v>1.3862943611198906</v>
      </c>
      <c r="O13" s="13"/>
      <c r="P13" s="13"/>
      <c r="Q13" s="13"/>
      <c r="R13" s="13"/>
      <c r="S13" s="13"/>
      <c r="T13" s="13"/>
      <c r="V13" t="s">
        <v>40</v>
      </c>
      <c r="W13" t="s">
        <v>30</v>
      </c>
    </row>
    <row r="14" spans="2:26" x14ac:dyDescent="0.4">
      <c r="B14">
        <v>13</v>
      </c>
      <c r="C14">
        <v>58</v>
      </c>
      <c r="D14">
        <v>1249</v>
      </c>
      <c r="E14">
        <v>-53</v>
      </c>
      <c r="F14">
        <v>250</v>
      </c>
      <c r="G14">
        <v>5830</v>
      </c>
      <c r="H14">
        <v>19</v>
      </c>
      <c r="I14">
        <v>75.739999999999995</v>
      </c>
      <c r="J14">
        <v>3</v>
      </c>
      <c r="K14">
        <v>4</v>
      </c>
      <c r="L14">
        <f t="shared" si="0"/>
        <v>1.3862943611198906</v>
      </c>
      <c r="O14" s="13"/>
      <c r="P14" s="13"/>
      <c r="Q14" s="13"/>
      <c r="R14" s="13"/>
      <c r="S14" s="13"/>
      <c r="T14" s="13"/>
      <c r="V14" t="s">
        <v>31</v>
      </c>
      <c r="W14" t="s">
        <v>32</v>
      </c>
    </row>
    <row r="15" spans="2:26" x14ac:dyDescent="0.4">
      <c r="B15">
        <v>14</v>
      </c>
      <c r="C15">
        <v>61</v>
      </c>
      <c r="D15">
        <v>5000</v>
      </c>
      <c r="E15">
        <v>-67</v>
      </c>
      <c r="F15">
        <v>200</v>
      </c>
      <c r="G15">
        <v>5870</v>
      </c>
      <c r="H15">
        <v>19</v>
      </c>
      <c r="I15">
        <v>65.48</v>
      </c>
      <c r="J15">
        <v>2</v>
      </c>
      <c r="K15">
        <v>7</v>
      </c>
      <c r="L15">
        <f t="shared" si="0"/>
        <v>1.9459101490553132</v>
      </c>
      <c r="O15" s="13"/>
      <c r="P15" s="13"/>
      <c r="Q15" s="13"/>
      <c r="R15" s="13"/>
      <c r="S15" s="13"/>
      <c r="T15" s="13"/>
      <c r="U15" s="5"/>
      <c r="V15" t="s">
        <v>33</v>
      </c>
      <c r="W15" t="s">
        <v>34</v>
      </c>
    </row>
    <row r="16" spans="2:26" x14ac:dyDescent="0.4">
      <c r="B16">
        <v>15</v>
      </c>
      <c r="C16">
        <v>64</v>
      </c>
      <c r="D16">
        <v>5000</v>
      </c>
      <c r="E16">
        <v>-40</v>
      </c>
      <c r="F16">
        <v>200</v>
      </c>
      <c r="G16">
        <v>5840</v>
      </c>
      <c r="H16">
        <v>19</v>
      </c>
      <c r="I16">
        <v>63.32</v>
      </c>
      <c r="J16">
        <v>5</v>
      </c>
      <c r="K16">
        <v>5</v>
      </c>
      <c r="L16">
        <f t="shared" si="0"/>
        <v>1.6094379124341003</v>
      </c>
      <c r="O16" s="13"/>
      <c r="P16" s="13"/>
      <c r="Q16" s="13"/>
      <c r="R16" s="13"/>
      <c r="S16" s="13"/>
      <c r="T16" s="13"/>
      <c r="U16" s="5"/>
      <c r="V16" t="s">
        <v>35</v>
      </c>
      <c r="W16" t="s">
        <v>36</v>
      </c>
    </row>
    <row r="17" spans="2:24" x14ac:dyDescent="0.4">
      <c r="B17">
        <v>16</v>
      </c>
      <c r="C17">
        <v>67</v>
      </c>
      <c r="D17">
        <v>639</v>
      </c>
      <c r="E17">
        <v>1</v>
      </c>
      <c r="F17">
        <v>150</v>
      </c>
      <c r="G17">
        <v>5780</v>
      </c>
      <c r="H17">
        <v>59</v>
      </c>
      <c r="I17">
        <v>66.02</v>
      </c>
      <c r="J17">
        <v>4</v>
      </c>
      <c r="K17">
        <v>9</v>
      </c>
      <c r="L17">
        <f t="shared" si="0"/>
        <v>2.1972245773362196</v>
      </c>
      <c r="O17" s="13"/>
      <c r="P17" s="13"/>
      <c r="Q17" s="13"/>
      <c r="R17" s="13"/>
      <c r="S17" s="13"/>
      <c r="T17" s="13"/>
      <c r="U17" s="5"/>
      <c r="V17" t="s">
        <v>37</v>
      </c>
      <c r="W17" t="s">
        <v>38</v>
      </c>
    </row>
    <row r="18" spans="2:24" ht="16.5" customHeight="1" x14ac:dyDescent="0.7">
      <c r="B18">
        <v>17</v>
      </c>
      <c r="C18">
        <v>52</v>
      </c>
      <c r="D18">
        <v>393</v>
      </c>
      <c r="E18">
        <v>-68</v>
      </c>
      <c r="F18">
        <v>10</v>
      </c>
      <c r="G18">
        <v>5680</v>
      </c>
      <c r="H18">
        <v>73</v>
      </c>
      <c r="I18">
        <v>69.8</v>
      </c>
      <c r="J18">
        <v>5</v>
      </c>
      <c r="K18">
        <v>4</v>
      </c>
      <c r="L18">
        <f t="shared" si="0"/>
        <v>1.3862943611198906</v>
      </c>
      <c r="N18" s="6"/>
      <c r="O18" s="6"/>
      <c r="P18" s="3"/>
      <c r="Q18" s="7"/>
      <c r="R18" s="8"/>
      <c r="S18" s="6"/>
      <c r="T18" s="3"/>
      <c r="U18" s="5"/>
    </row>
    <row r="19" spans="2:24" x14ac:dyDescent="0.4">
      <c r="B19">
        <v>18</v>
      </c>
      <c r="C19">
        <v>54</v>
      </c>
      <c r="D19">
        <v>5000</v>
      </c>
      <c r="E19">
        <v>-66</v>
      </c>
      <c r="F19">
        <v>140</v>
      </c>
      <c r="G19">
        <v>5720</v>
      </c>
      <c r="H19">
        <v>19</v>
      </c>
      <c r="I19">
        <v>54.68</v>
      </c>
      <c r="J19">
        <v>4</v>
      </c>
      <c r="K19">
        <v>3</v>
      </c>
      <c r="L19">
        <f t="shared" si="0"/>
        <v>1.0986122886681098</v>
      </c>
      <c r="N19" s="6"/>
      <c r="O19" s="6"/>
      <c r="P19" s="3"/>
      <c r="Q19" s="6"/>
      <c r="R19" s="8"/>
      <c r="S19" s="6"/>
      <c r="U19" s="5"/>
    </row>
    <row r="20" spans="2:24" ht="25.5" customHeight="1" x14ac:dyDescent="0.4">
      <c r="B20">
        <v>19</v>
      </c>
      <c r="C20">
        <v>54</v>
      </c>
      <c r="D20">
        <v>5000</v>
      </c>
      <c r="E20">
        <v>-58</v>
      </c>
      <c r="F20">
        <v>250</v>
      </c>
      <c r="G20">
        <v>5760</v>
      </c>
      <c r="H20">
        <v>19</v>
      </c>
      <c r="I20">
        <v>51.98</v>
      </c>
      <c r="J20">
        <v>3</v>
      </c>
      <c r="K20">
        <v>4</v>
      </c>
      <c r="L20">
        <f t="shared" si="0"/>
        <v>1.3862943611198906</v>
      </c>
      <c r="N20" s="12" t="s">
        <v>22</v>
      </c>
      <c r="O20" s="12"/>
      <c r="P20" s="12"/>
      <c r="Q20" s="12"/>
      <c r="R20" s="12"/>
      <c r="S20" s="12"/>
      <c r="T20" s="12"/>
      <c r="U20" s="5"/>
    </row>
    <row r="21" spans="2:24" x14ac:dyDescent="0.4">
      <c r="B21">
        <v>20</v>
      </c>
      <c r="C21">
        <v>58</v>
      </c>
      <c r="D21">
        <v>5000</v>
      </c>
      <c r="E21">
        <v>-26</v>
      </c>
      <c r="F21">
        <v>200</v>
      </c>
      <c r="G21">
        <v>5730</v>
      </c>
      <c r="H21">
        <v>26</v>
      </c>
      <c r="I21">
        <v>51.98</v>
      </c>
      <c r="J21">
        <v>4</v>
      </c>
      <c r="K21">
        <v>4</v>
      </c>
      <c r="L21">
        <f t="shared" si="0"/>
        <v>1.3862943611198906</v>
      </c>
      <c r="N21" s="12"/>
      <c r="O21" s="12"/>
      <c r="P21" s="12"/>
      <c r="Q21" s="12"/>
      <c r="R21" s="12"/>
      <c r="S21" s="12"/>
      <c r="T21" s="12"/>
      <c r="U21" s="5"/>
    </row>
    <row r="22" spans="2:24" ht="20.100000000000001" x14ac:dyDescent="0.7">
      <c r="B22">
        <v>21</v>
      </c>
      <c r="C22">
        <v>69</v>
      </c>
      <c r="D22">
        <v>3044</v>
      </c>
      <c r="E22">
        <v>18</v>
      </c>
      <c r="F22">
        <v>150</v>
      </c>
      <c r="G22">
        <v>5700</v>
      </c>
      <c r="H22">
        <v>59</v>
      </c>
      <c r="I22">
        <v>52.88</v>
      </c>
      <c r="J22">
        <v>5</v>
      </c>
      <c r="K22">
        <v>5</v>
      </c>
      <c r="L22">
        <f t="shared" si="0"/>
        <v>1.6094379124341003</v>
      </c>
      <c r="M22" s="2"/>
      <c r="N22" s="12"/>
      <c r="O22" s="12"/>
      <c r="P22" s="12"/>
      <c r="Q22" s="12"/>
      <c r="R22" s="12"/>
      <c r="S22" s="12"/>
      <c r="T22" s="12"/>
      <c r="U22" s="5"/>
    </row>
    <row r="23" spans="2:24" x14ac:dyDescent="0.4">
      <c r="B23">
        <v>22</v>
      </c>
      <c r="C23">
        <v>51</v>
      </c>
      <c r="D23">
        <v>3641</v>
      </c>
      <c r="E23">
        <v>23</v>
      </c>
      <c r="F23">
        <v>140</v>
      </c>
      <c r="G23">
        <v>5650</v>
      </c>
      <c r="H23">
        <v>70</v>
      </c>
      <c r="I23">
        <v>47.66</v>
      </c>
      <c r="J23">
        <v>5</v>
      </c>
      <c r="K23">
        <v>6</v>
      </c>
      <c r="L23">
        <f t="shared" si="0"/>
        <v>1.791759469228055</v>
      </c>
      <c r="O23">
        <v>10</v>
      </c>
      <c r="P23">
        <v>9</v>
      </c>
      <c r="Q23">
        <v>8</v>
      </c>
      <c r="R23">
        <v>7</v>
      </c>
      <c r="S23">
        <v>6</v>
      </c>
      <c r="T23">
        <v>5</v>
      </c>
      <c r="U23">
        <v>4</v>
      </c>
      <c r="V23">
        <v>3</v>
      </c>
      <c r="W23">
        <v>2</v>
      </c>
      <c r="X23">
        <v>1</v>
      </c>
    </row>
    <row r="24" spans="2:24" x14ac:dyDescent="0.4">
      <c r="B24">
        <v>23</v>
      </c>
      <c r="C24">
        <v>53</v>
      </c>
      <c r="D24">
        <v>111</v>
      </c>
      <c r="E24">
        <v>-10</v>
      </c>
      <c r="F24">
        <v>50</v>
      </c>
      <c r="G24">
        <v>5680</v>
      </c>
      <c r="H24">
        <v>64</v>
      </c>
      <c r="I24">
        <v>59.54</v>
      </c>
      <c r="J24">
        <v>3</v>
      </c>
      <c r="K24">
        <v>9</v>
      </c>
      <c r="L24">
        <f t="shared" si="0"/>
        <v>2.1972245773362196</v>
      </c>
      <c r="R24" s="5"/>
      <c r="U24" s="5"/>
    </row>
    <row r="25" spans="2:24" x14ac:dyDescent="0.4">
      <c r="B25">
        <v>24</v>
      </c>
      <c r="C25">
        <v>59</v>
      </c>
      <c r="D25">
        <v>597</v>
      </c>
      <c r="E25">
        <v>-52</v>
      </c>
      <c r="F25">
        <v>70</v>
      </c>
      <c r="G25">
        <v>5820</v>
      </c>
      <c r="H25">
        <v>19</v>
      </c>
      <c r="I25">
        <v>70.52</v>
      </c>
      <c r="J25">
        <v>5</v>
      </c>
      <c r="K25">
        <v>6</v>
      </c>
      <c r="L25">
        <f t="shared" si="0"/>
        <v>1.791759469228055</v>
      </c>
      <c r="R25" t="s">
        <v>23</v>
      </c>
    </row>
    <row r="26" spans="2:24" x14ac:dyDescent="0.4">
      <c r="B26">
        <v>25</v>
      </c>
      <c r="C26">
        <v>64</v>
      </c>
      <c r="D26">
        <v>1791</v>
      </c>
      <c r="E26">
        <v>-15</v>
      </c>
      <c r="F26">
        <v>150</v>
      </c>
      <c r="G26">
        <v>5810</v>
      </c>
      <c r="H26">
        <v>19</v>
      </c>
      <c r="I26">
        <v>64.760000000000005</v>
      </c>
      <c r="J26">
        <v>5</v>
      </c>
      <c r="K26">
        <v>6</v>
      </c>
      <c r="L26">
        <f t="shared" si="0"/>
        <v>1.791759469228055</v>
      </c>
    </row>
    <row r="27" spans="2:24" ht="14.25" customHeight="1" x14ac:dyDescent="0.6">
      <c r="B27">
        <v>26</v>
      </c>
      <c r="C27">
        <v>63</v>
      </c>
      <c r="D27">
        <v>793</v>
      </c>
      <c r="E27">
        <v>-15</v>
      </c>
      <c r="F27">
        <v>120</v>
      </c>
      <c r="G27">
        <v>5790</v>
      </c>
      <c r="H27">
        <v>28</v>
      </c>
      <c r="I27">
        <v>65.84</v>
      </c>
      <c r="J27">
        <v>3</v>
      </c>
      <c r="K27">
        <v>11</v>
      </c>
      <c r="L27">
        <f t="shared" si="0"/>
        <v>2.3978952727983707</v>
      </c>
      <c r="O27" s="1" t="str">
        <f t="shared" ref="O27:X27" si="1">INDEX($A1:$J1,1,O23)</f>
        <v>X9</v>
      </c>
      <c r="P27" s="1" t="str">
        <f t="shared" si="1"/>
        <v>X8</v>
      </c>
      <c r="Q27" s="1" t="str">
        <f t="shared" si="1"/>
        <v>X7</v>
      </c>
      <c r="R27" s="1" t="str">
        <f t="shared" si="1"/>
        <v>X6</v>
      </c>
      <c r="S27" s="1" t="str">
        <f t="shared" si="1"/>
        <v>X5</v>
      </c>
      <c r="T27" s="1" t="str">
        <f t="shared" si="1"/>
        <v>X4</v>
      </c>
      <c r="U27" s="1" t="str">
        <f t="shared" si="1"/>
        <v>X3</v>
      </c>
      <c r="V27" s="1" t="str">
        <f t="shared" si="1"/>
        <v>X2</v>
      </c>
      <c r="W27" s="1" t="str">
        <f t="shared" si="1"/>
        <v>X1</v>
      </c>
      <c r="X27" s="1">
        <f t="shared" si="1"/>
        <v>0</v>
      </c>
    </row>
    <row r="28" spans="2:24" x14ac:dyDescent="0.4">
      <c r="B28">
        <v>27</v>
      </c>
      <c r="C28">
        <v>63</v>
      </c>
      <c r="D28">
        <v>531</v>
      </c>
      <c r="E28">
        <v>-38</v>
      </c>
      <c r="F28">
        <v>40</v>
      </c>
      <c r="G28">
        <v>5800</v>
      </c>
      <c r="H28">
        <v>32</v>
      </c>
      <c r="I28">
        <v>75.92</v>
      </c>
      <c r="J28">
        <v>2</v>
      </c>
      <c r="K28">
        <v>10</v>
      </c>
      <c r="L28">
        <f t="shared" si="0"/>
        <v>2.3025850929940459</v>
      </c>
      <c r="O28">
        <f t="array" ref="O28:X32">LINEST(lny,xstep1,1,1)</f>
        <v>-3.9565897624888352E-2</v>
      </c>
      <c r="P28">
        <v>-3.9460970574098876E-3</v>
      </c>
      <c r="Q28">
        <v>4.6888742081789836E-3</v>
      </c>
      <c r="R28">
        <v>2.039932448469603E-3</v>
      </c>
      <c r="S28">
        <v>-8.0051519165898232E-4</v>
      </c>
      <c r="T28">
        <v>-1.4587079132944167E-3</v>
      </c>
      <c r="U28">
        <v>-7.706802681343388E-5</v>
      </c>
      <c r="V28">
        <v>7.2966122093489957E-3</v>
      </c>
      <c r="W28">
        <v>1.2241920089369741E-2</v>
      </c>
      <c r="X28">
        <v>-10.134646204222248</v>
      </c>
    </row>
    <row r="29" spans="2:24" x14ac:dyDescent="0.4">
      <c r="B29">
        <v>28</v>
      </c>
      <c r="C29">
        <v>62</v>
      </c>
      <c r="D29">
        <v>419</v>
      </c>
      <c r="E29">
        <v>-29</v>
      </c>
      <c r="F29">
        <v>120</v>
      </c>
      <c r="G29">
        <v>5820</v>
      </c>
      <c r="H29">
        <v>19</v>
      </c>
      <c r="I29">
        <v>75.739999999999995</v>
      </c>
      <c r="J29">
        <v>5</v>
      </c>
      <c r="K29">
        <v>7</v>
      </c>
      <c r="L29">
        <f t="shared" si="0"/>
        <v>1.9459101490553132</v>
      </c>
      <c r="O29">
        <v>1.9994240991396659E-2</v>
      </c>
      <c r="P29">
        <v>1.0752950712970213E-2</v>
      </c>
      <c r="Q29">
        <v>2.636811088188684E-3</v>
      </c>
      <c r="R29">
        <v>7.2731453873357116E-4</v>
      </c>
      <c r="S29">
        <v>4.7238480934140098E-4</v>
      </c>
      <c r="T29">
        <v>1.8310736343103815E-3</v>
      </c>
      <c r="U29">
        <v>4.4727734250627422E-5</v>
      </c>
      <c r="V29">
        <v>7.0738300040644837E-3</v>
      </c>
      <c r="W29">
        <v>1.8547102745482421E-3</v>
      </c>
      <c r="X29">
        <v>3.8437269450716331</v>
      </c>
    </row>
    <row r="30" spans="2:24" x14ac:dyDescent="0.4">
      <c r="B30">
        <v>29</v>
      </c>
      <c r="C30">
        <v>63</v>
      </c>
      <c r="D30">
        <v>816</v>
      </c>
      <c r="E30">
        <v>-7</v>
      </c>
      <c r="F30">
        <v>6</v>
      </c>
      <c r="G30">
        <v>5770</v>
      </c>
      <c r="H30">
        <v>76</v>
      </c>
      <c r="I30">
        <v>66.2</v>
      </c>
      <c r="J30">
        <v>8</v>
      </c>
      <c r="K30">
        <v>12</v>
      </c>
      <c r="L30">
        <f t="shared" si="0"/>
        <v>2.4849066497880004</v>
      </c>
      <c r="O30">
        <v>0.69615488965795225</v>
      </c>
      <c r="P30">
        <v>0.33305738167717269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</row>
    <row r="31" spans="2:24" x14ac:dyDescent="0.4">
      <c r="B31">
        <v>30</v>
      </c>
      <c r="C31">
        <v>54</v>
      </c>
      <c r="D31">
        <v>3651</v>
      </c>
      <c r="E31">
        <v>62</v>
      </c>
      <c r="F31">
        <v>30</v>
      </c>
      <c r="G31">
        <v>5670</v>
      </c>
      <c r="H31">
        <v>69</v>
      </c>
      <c r="I31">
        <v>49.1</v>
      </c>
      <c r="J31">
        <v>3</v>
      </c>
      <c r="K31">
        <v>9</v>
      </c>
      <c r="L31">
        <f t="shared" si="0"/>
        <v>2.1972245773362196</v>
      </c>
      <c r="O31">
        <v>17.820059781701442</v>
      </c>
      <c r="P31">
        <v>70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</row>
    <row r="32" spans="2:24" x14ac:dyDescent="0.4">
      <c r="B32">
        <v>31</v>
      </c>
      <c r="C32">
        <v>36</v>
      </c>
      <c r="D32">
        <v>5000</v>
      </c>
      <c r="E32">
        <v>70</v>
      </c>
      <c r="F32">
        <v>100</v>
      </c>
      <c r="G32">
        <v>5590</v>
      </c>
      <c r="H32">
        <v>76</v>
      </c>
      <c r="I32">
        <v>37.94</v>
      </c>
      <c r="J32">
        <v>3</v>
      </c>
      <c r="K32">
        <v>2</v>
      </c>
      <c r="L32">
        <f t="shared" si="0"/>
        <v>0.69314718055994529</v>
      </c>
      <c r="O32">
        <v>17.790567144511947</v>
      </c>
      <c r="P32">
        <v>7.7649053642757719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  <c r="W32" t="e">
        <v>#N/A</v>
      </c>
      <c r="X32" t="e">
        <v>#N/A</v>
      </c>
    </row>
    <row r="33" spans="2:24" x14ac:dyDescent="0.4">
      <c r="B33">
        <v>32</v>
      </c>
      <c r="C33">
        <v>31</v>
      </c>
      <c r="D33">
        <v>5000</v>
      </c>
      <c r="E33">
        <v>28</v>
      </c>
      <c r="F33">
        <v>200</v>
      </c>
      <c r="G33">
        <v>5410</v>
      </c>
      <c r="H33">
        <v>64</v>
      </c>
      <c r="I33">
        <v>32.36</v>
      </c>
      <c r="J33">
        <v>6</v>
      </c>
      <c r="K33">
        <v>3</v>
      </c>
      <c r="L33">
        <f t="shared" si="0"/>
        <v>1.0986122886681098</v>
      </c>
      <c r="N33" t="s">
        <v>10</v>
      </c>
      <c r="O33">
        <f>O28/O29</f>
        <v>-1.9788646961849263</v>
      </c>
      <c r="P33">
        <f t="shared" ref="P33:X33" si="2">P28/P29</f>
        <v>-0.36697806609027828</v>
      </c>
      <c r="Q33">
        <f t="shared" si="2"/>
        <v>1.7782366849040869</v>
      </c>
      <c r="R33">
        <f t="shared" si="2"/>
        <v>2.8047458696778067</v>
      </c>
      <c r="S33">
        <f t="shared" si="2"/>
        <v>-1.6946251780938104</v>
      </c>
      <c r="T33">
        <f t="shared" si="2"/>
        <v>-0.79664077181898529</v>
      </c>
      <c r="U33">
        <f t="shared" si="2"/>
        <v>-1.7230478606761264</v>
      </c>
      <c r="V33">
        <f t="shared" si="2"/>
        <v>1.0314938590772615</v>
      </c>
      <c r="W33">
        <f t="shared" si="2"/>
        <v>6.6004487371223224</v>
      </c>
      <c r="X33">
        <f t="shared" si="2"/>
        <v>-2.636671737886255</v>
      </c>
    </row>
    <row r="34" spans="2:24" ht="18" customHeight="1" x14ac:dyDescent="0.4">
      <c r="B34">
        <v>33</v>
      </c>
      <c r="C34">
        <v>30</v>
      </c>
      <c r="D34">
        <v>1341</v>
      </c>
      <c r="E34">
        <v>18</v>
      </c>
      <c r="F34">
        <v>60</v>
      </c>
      <c r="G34">
        <v>5350</v>
      </c>
      <c r="H34">
        <v>62</v>
      </c>
      <c r="I34">
        <v>45.86</v>
      </c>
      <c r="J34">
        <v>7</v>
      </c>
      <c r="K34">
        <v>3</v>
      </c>
      <c r="L34">
        <f t="shared" si="0"/>
        <v>1.0986122886681098</v>
      </c>
      <c r="N34" t="s">
        <v>11</v>
      </c>
      <c r="O34">
        <f t="shared" ref="O34:X34" si="3">TDIST(ABS(O33),$P31,2)</f>
        <v>5.1766457925768998E-2</v>
      </c>
      <c r="P34">
        <f t="shared" si="3"/>
        <v>0.71474244009102317</v>
      </c>
      <c r="Q34">
        <f t="shared" si="3"/>
        <v>7.9707587725413476E-2</v>
      </c>
      <c r="R34">
        <f t="shared" si="3"/>
        <v>6.513173858768052E-3</v>
      </c>
      <c r="S34">
        <f t="shared" si="3"/>
        <v>9.4591373738825271E-2</v>
      </c>
      <c r="T34">
        <f t="shared" si="3"/>
        <v>0.42835337290466791</v>
      </c>
      <c r="U34">
        <f t="shared" si="3"/>
        <v>8.9294987537661741E-2</v>
      </c>
      <c r="V34">
        <f t="shared" si="3"/>
        <v>0.30586008248057223</v>
      </c>
      <c r="W34">
        <f t="shared" si="3"/>
        <v>6.6286425669428298E-9</v>
      </c>
      <c r="X34">
        <f t="shared" si="3"/>
        <v>1.0305575930321829E-2</v>
      </c>
    </row>
    <row r="35" spans="2:24" ht="12.75" customHeight="1" x14ac:dyDescent="0.4">
      <c r="B35">
        <v>34</v>
      </c>
      <c r="C35">
        <v>36</v>
      </c>
      <c r="D35">
        <v>5000</v>
      </c>
      <c r="E35">
        <v>0</v>
      </c>
      <c r="F35">
        <v>350</v>
      </c>
      <c r="G35">
        <v>5480</v>
      </c>
      <c r="H35">
        <v>72</v>
      </c>
      <c r="I35">
        <v>38.659999999999997</v>
      </c>
      <c r="J35">
        <v>9</v>
      </c>
      <c r="K35">
        <v>2</v>
      </c>
      <c r="L35">
        <f t="shared" si="0"/>
        <v>0.69314718055994529</v>
      </c>
    </row>
    <row r="36" spans="2:24" ht="12.75" customHeight="1" x14ac:dyDescent="0.4">
      <c r="B36">
        <v>35</v>
      </c>
      <c r="C36">
        <v>42</v>
      </c>
      <c r="D36">
        <v>3799</v>
      </c>
      <c r="E36">
        <v>-18</v>
      </c>
      <c r="F36">
        <v>250</v>
      </c>
      <c r="G36">
        <v>5600</v>
      </c>
      <c r="H36">
        <v>76</v>
      </c>
      <c r="I36">
        <v>45.86</v>
      </c>
      <c r="J36">
        <v>7</v>
      </c>
      <c r="K36">
        <v>3</v>
      </c>
      <c r="L36">
        <f t="shared" si="0"/>
        <v>1.0986122886681098</v>
      </c>
    </row>
    <row r="37" spans="2:24" ht="12.75" customHeight="1" x14ac:dyDescent="0.4">
      <c r="B37">
        <v>36</v>
      </c>
      <c r="C37">
        <v>37</v>
      </c>
      <c r="D37">
        <v>5000</v>
      </c>
      <c r="E37">
        <v>32</v>
      </c>
      <c r="F37">
        <v>350</v>
      </c>
      <c r="G37">
        <v>5490</v>
      </c>
      <c r="H37">
        <v>72</v>
      </c>
      <c r="I37">
        <v>38.119999999999997</v>
      </c>
      <c r="J37">
        <v>11</v>
      </c>
      <c r="K37">
        <v>3</v>
      </c>
      <c r="L37">
        <f t="shared" si="0"/>
        <v>1.0986122886681098</v>
      </c>
    </row>
    <row r="38" spans="2:24" ht="12.75" customHeight="1" x14ac:dyDescent="0.4">
      <c r="B38">
        <v>37</v>
      </c>
      <c r="C38">
        <v>41</v>
      </c>
      <c r="D38">
        <v>5000</v>
      </c>
      <c r="E38">
        <v>-1</v>
      </c>
      <c r="F38">
        <v>300</v>
      </c>
      <c r="G38">
        <v>5560</v>
      </c>
      <c r="H38">
        <v>72</v>
      </c>
      <c r="I38">
        <v>37.58</v>
      </c>
      <c r="J38">
        <v>10</v>
      </c>
      <c r="K38">
        <v>4</v>
      </c>
      <c r="L38">
        <f t="shared" si="0"/>
        <v>1.3862943611198906</v>
      </c>
    </row>
    <row r="39" spans="2:24" x14ac:dyDescent="0.4">
      <c r="B39">
        <v>38</v>
      </c>
      <c r="C39">
        <v>46</v>
      </c>
      <c r="D39">
        <v>5000</v>
      </c>
      <c r="E39">
        <v>-30</v>
      </c>
      <c r="F39">
        <v>300</v>
      </c>
      <c r="G39">
        <v>5700</v>
      </c>
      <c r="H39">
        <v>32</v>
      </c>
      <c r="I39">
        <v>45.86</v>
      </c>
      <c r="J39">
        <v>3</v>
      </c>
      <c r="K39">
        <v>6</v>
      </c>
      <c r="L39">
        <f t="shared" si="0"/>
        <v>1.791759469228055</v>
      </c>
    </row>
    <row r="40" spans="2:24" ht="35.4" x14ac:dyDescent="0.6">
      <c r="B40">
        <v>39</v>
      </c>
      <c r="C40">
        <v>51</v>
      </c>
      <c r="D40">
        <v>5000</v>
      </c>
      <c r="E40">
        <v>-8</v>
      </c>
      <c r="F40">
        <v>300</v>
      </c>
      <c r="G40">
        <v>5680</v>
      </c>
      <c r="H40">
        <v>50</v>
      </c>
      <c r="I40">
        <v>45.5</v>
      </c>
      <c r="J40">
        <v>5</v>
      </c>
      <c r="K40">
        <v>8</v>
      </c>
      <c r="L40">
        <f t="shared" si="0"/>
        <v>2.0794415416798357</v>
      </c>
      <c r="O40" s="1" t="s">
        <v>8</v>
      </c>
      <c r="P40" s="1" t="s">
        <v>6</v>
      </c>
      <c r="Q40" s="1" t="s">
        <v>5</v>
      </c>
      <c r="R40" s="1" t="s">
        <v>9</v>
      </c>
      <c r="S40" s="1" t="s">
        <v>4</v>
      </c>
      <c r="T40" s="1" t="s">
        <v>3</v>
      </c>
      <c r="U40" s="1" t="s">
        <v>2</v>
      </c>
      <c r="V40" s="1" t="s">
        <v>1</v>
      </c>
      <c r="W40" s="1" t="s">
        <v>0</v>
      </c>
    </row>
    <row r="41" spans="2:24" x14ac:dyDescent="0.4">
      <c r="B41">
        <v>40</v>
      </c>
      <c r="C41">
        <v>55</v>
      </c>
      <c r="D41">
        <v>2398</v>
      </c>
      <c r="E41">
        <v>21</v>
      </c>
      <c r="F41">
        <v>200</v>
      </c>
      <c r="G41">
        <v>5700</v>
      </c>
      <c r="H41">
        <v>86</v>
      </c>
      <c r="I41">
        <v>53.78</v>
      </c>
      <c r="J41">
        <v>4</v>
      </c>
      <c r="K41">
        <v>6</v>
      </c>
      <c r="L41">
        <f t="shared" si="0"/>
        <v>1.791759469228055</v>
      </c>
      <c r="O41">
        <f t="array" ref="O41:W45">LINEST(lny,Xstep2,1,1)</f>
        <v>-4.0496371292423727E-2</v>
      </c>
      <c r="P41">
        <v>4.7674177789285184E-3</v>
      </c>
      <c r="Q41">
        <v>1.923535651540443E-3</v>
      </c>
      <c r="R41">
        <v>-7.944633851257255E-4</v>
      </c>
      <c r="S41">
        <v>-1.203942187846731E-3</v>
      </c>
      <c r="T41">
        <v>-6.3607867687506578E-5</v>
      </c>
      <c r="U41">
        <v>6.0444626739763344E-3</v>
      </c>
      <c r="V41">
        <v>1.216255308546987E-2</v>
      </c>
      <c r="W41">
        <v>-9.6557706465651219</v>
      </c>
    </row>
    <row r="42" spans="2:24" x14ac:dyDescent="0.4">
      <c r="B42">
        <v>41</v>
      </c>
      <c r="C42">
        <v>41</v>
      </c>
      <c r="D42">
        <v>5000</v>
      </c>
      <c r="E42">
        <v>51</v>
      </c>
      <c r="F42">
        <v>100</v>
      </c>
      <c r="G42">
        <v>5650</v>
      </c>
      <c r="H42">
        <v>61</v>
      </c>
      <c r="I42">
        <v>36.32</v>
      </c>
      <c r="J42">
        <v>5</v>
      </c>
      <c r="K42">
        <v>4</v>
      </c>
      <c r="L42">
        <f t="shared" si="0"/>
        <v>1.3862943611198906</v>
      </c>
      <c r="O42">
        <v>1.9711595030878132E-2</v>
      </c>
      <c r="P42">
        <v>2.6120460734020941E-3</v>
      </c>
      <c r="Q42">
        <v>6.5051095811583881E-4</v>
      </c>
      <c r="R42">
        <v>4.6921116475708778E-4</v>
      </c>
      <c r="S42">
        <v>1.6840105178834201E-3</v>
      </c>
      <c r="T42">
        <v>2.5441714109189136E-5</v>
      </c>
      <c r="U42">
        <v>6.1586506126762022E-3</v>
      </c>
      <c r="V42">
        <v>1.8307980980104051E-3</v>
      </c>
      <c r="W42">
        <v>3.5933438819924151</v>
      </c>
    </row>
    <row r="43" spans="2:24" x14ac:dyDescent="0.4">
      <c r="B43">
        <v>42</v>
      </c>
      <c r="C43">
        <v>41</v>
      </c>
      <c r="D43">
        <v>4281</v>
      </c>
      <c r="E43">
        <v>42</v>
      </c>
      <c r="F43">
        <v>250</v>
      </c>
      <c r="G43">
        <v>5610</v>
      </c>
      <c r="H43">
        <v>62</v>
      </c>
      <c r="I43">
        <v>41.36</v>
      </c>
      <c r="J43">
        <v>5</v>
      </c>
      <c r="K43">
        <v>3</v>
      </c>
      <c r="L43">
        <f t="shared" si="0"/>
        <v>1.0986122886681098</v>
      </c>
      <c r="O43">
        <v>0.69557032247992645</v>
      </c>
      <c r="P43">
        <v>0.33102155699181679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</row>
    <row r="44" spans="2:24" x14ac:dyDescent="0.4">
      <c r="B44">
        <v>43</v>
      </c>
      <c r="C44">
        <v>49</v>
      </c>
      <c r="D44">
        <v>1161</v>
      </c>
      <c r="E44">
        <v>27</v>
      </c>
      <c r="F44">
        <v>200</v>
      </c>
      <c r="G44">
        <v>5730</v>
      </c>
      <c r="H44">
        <v>66</v>
      </c>
      <c r="I44">
        <v>52.88</v>
      </c>
      <c r="J44">
        <v>5</v>
      </c>
      <c r="K44">
        <v>7</v>
      </c>
      <c r="L44">
        <f t="shared" si="0"/>
        <v>1.9459101490553132</v>
      </c>
      <c r="O44">
        <v>20.277873899473217</v>
      </c>
      <c r="P44">
        <v>71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  <c r="W44" t="e">
        <v>#N/A</v>
      </c>
    </row>
    <row r="45" spans="2:24" x14ac:dyDescent="0.4">
      <c r="B45">
        <v>44</v>
      </c>
      <c r="C45">
        <v>45</v>
      </c>
      <c r="D45">
        <v>2778</v>
      </c>
      <c r="E45">
        <v>2</v>
      </c>
      <c r="F45">
        <v>200</v>
      </c>
      <c r="G45">
        <v>5770</v>
      </c>
      <c r="H45">
        <v>68</v>
      </c>
      <c r="I45">
        <v>55.76</v>
      </c>
      <c r="J45">
        <v>5</v>
      </c>
      <c r="K45">
        <v>11</v>
      </c>
      <c r="L45">
        <f t="shared" si="0"/>
        <v>2.3978952727983707</v>
      </c>
      <c r="O45">
        <v>17.775628254064369</v>
      </c>
      <c r="P45">
        <v>7.7798442547233497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  <c r="W45" t="e">
        <v>#N/A</v>
      </c>
    </row>
    <row r="46" spans="2:24" x14ac:dyDescent="0.4">
      <c r="B46">
        <v>45</v>
      </c>
      <c r="C46">
        <v>55</v>
      </c>
      <c r="D46">
        <v>442</v>
      </c>
      <c r="E46">
        <v>26</v>
      </c>
      <c r="F46">
        <v>40</v>
      </c>
      <c r="G46">
        <v>5770</v>
      </c>
      <c r="H46">
        <v>82</v>
      </c>
      <c r="I46">
        <v>58.28</v>
      </c>
      <c r="J46">
        <v>3</v>
      </c>
      <c r="K46">
        <v>13</v>
      </c>
      <c r="L46">
        <f t="shared" si="0"/>
        <v>2.5649493574615367</v>
      </c>
      <c r="N46" t="s">
        <v>10</v>
      </c>
      <c r="O46">
        <f>O41/O42</f>
        <v>-2.054444159845326</v>
      </c>
      <c r="P46">
        <f t="shared" ref="P46:W46" si="4">P41/P42</f>
        <v>1.8251660364930438</v>
      </c>
      <c r="Q46">
        <f t="shared" si="4"/>
        <v>2.9569611818866735</v>
      </c>
      <c r="R46">
        <f t="shared" si="4"/>
        <v>-1.6931894311104509</v>
      </c>
      <c r="S46">
        <f t="shared" si="4"/>
        <v>-0.7149255750254625</v>
      </c>
      <c r="T46">
        <f t="shared" si="4"/>
        <v>-2.5001408086938781</v>
      </c>
      <c r="U46">
        <f t="shared" si="4"/>
        <v>0.98145893542575102</v>
      </c>
      <c r="V46">
        <f t="shared" si="4"/>
        <v>6.6433065987382003</v>
      </c>
      <c r="W46">
        <f t="shared" si="4"/>
        <v>-2.6871267999018369</v>
      </c>
    </row>
    <row r="47" spans="2:24" x14ac:dyDescent="0.4">
      <c r="B47">
        <v>46</v>
      </c>
      <c r="C47">
        <v>41</v>
      </c>
      <c r="D47">
        <v>5000</v>
      </c>
      <c r="E47">
        <v>-30</v>
      </c>
      <c r="F47">
        <v>300</v>
      </c>
      <c r="G47">
        <v>5690</v>
      </c>
      <c r="H47">
        <v>21</v>
      </c>
      <c r="I47">
        <v>42.26</v>
      </c>
      <c r="J47">
        <v>8</v>
      </c>
      <c r="K47">
        <v>6</v>
      </c>
      <c r="L47">
        <f t="shared" si="0"/>
        <v>1.791759469228055</v>
      </c>
      <c r="N47" t="s">
        <v>11</v>
      </c>
      <c r="O47">
        <f>TDIST(ABS(O46),$P44,2)</f>
        <v>4.3614760976398673E-2</v>
      </c>
      <c r="P47">
        <f t="shared" ref="P47:W47" si="5">TDIST(ABS(P46),$P44,2)</f>
        <v>7.218215556463789E-2</v>
      </c>
      <c r="Q47">
        <f t="shared" si="5"/>
        <v>4.2158719180860433E-3</v>
      </c>
      <c r="R47">
        <f t="shared" si="5"/>
        <v>9.4803030376225506E-2</v>
      </c>
      <c r="S47">
        <f t="shared" si="5"/>
        <v>0.47699929103872829</v>
      </c>
      <c r="T47">
        <f t="shared" si="5"/>
        <v>1.4725930334290796E-2</v>
      </c>
      <c r="U47">
        <f t="shared" si="5"/>
        <v>0.32969909791004115</v>
      </c>
      <c r="V47">
        <f t="shared" si="5"/>
        <v>5.2589588678124852E-9</v>
      </c>
      <c r="W47">
        <f t="shared" si="5"/>
        <v>8.9701723211298E-3</v>
      </c>
    </row>
    <row r="48" spans="2:24" x14ac:dyDescent="0.4">
      <c r="B48">
        <v>47</v>
      </c>
      <c r="C48">
        <v>45</v>
      </c>
      <c r="D48">
        <v>5000</v>
      </c>
      <c r="E48">
        <v>-53</v>
      </c>
      <c r="F48">
        <v>300</v>
      </c>
      <c r="G48">
        <v>5700</v>
      </c>
      <c r="H48">
        <v>19</v>
      </c>
      <c r="I48">
        <v>43.88</v>
      </c>
      <c r="J48">
        <v>3</v>
      </c>
      <c r="K48">
        <v>5</v>
      </c>
      <c r="L48">
        <f t="shared" si="0"/>
        <v>1.6094379124341003</v>
      </c>
    </row>
    <row r="49" spans="2:22" x14ac:dyDescent="0.4">
      <c r="B49">
        <v>48</v>
      </c>
      <c r="C49">
        <v>51</v>
      </c>
      <c r="D49">
        <v>5000</v>
      </c>
      <c r="E49">
        <v>-43</v>
      </c>
      <c r="F49">
        <v>300</v>
      </c>
      <c r="G49">
        <v>5730</v>
      </c>
      <c r="H49">
        <v>19</v>
      </c>
      <c r="I49">
        <v>49.1</v>
      </c>
      <c r="J49">
        <v>11</v>
      </c>
      <c r="K49">
        <v>4</v>
      </c>
      <c r="L49">
        <f t="shared" si="0"/>
        <v>1.3862943611198906</v>
      </c>
    </row>
    <row r="50" spans="2:22" x14ac:dyDescent="0.4">
      <c r="B50">
        <v>49</v>
      </c>
      <c r="C50">
        <v>53</v>
      </c>
      <c r="D50">
        <v>5000</v>
      </c>
      <c r="E50">
        <v>7</v>
      </c>
      <c r="F50">
        <v>300</v>
      </c>
      <c r="G50">
        <v>5690</v>
      </c>
      <c r="H50">
        <v>19</v>
      </c>
      <c r="I50">
        <v>49.1</v>
      </c>
      <c r="J50">
        <v>7</v>
      </c>
      <c r="K50">
        <v>4</v>
      </c>
      <c r="L50">
        <f t="shared" si="0"/>
        <v>1.3862943611198906</v>
      </c>
    </row>
    <row r="51" spans="2:22" x14ac:dyDescent="0.4">
      <c r="B51">
        <v>50</v>
      </c>
      <c r="C51">
        <v>50</v>
      </c>
      <c r="D51">
        <v>5000</v>
      </c>
      <c r="E51">
        <v>24</v>
      </c>
      <c r="F51">
        <v>300</v>
      </c>
      <c r="G51">
        <v>5640</v>
      </c>
      <c r="H51">
        <v>68</v>
      </c>
      <c r="I51">
        <v>42.08</v>
      </c>
      <c r="J51">
        <v>5</v>
      </c>
      <c r="K51">
        <v>6</v>
      </c>
      <c r="L51">
        <f t="shared" si="0"/>
        <v>1.791759469228055</v>
      </c>
    </row>
    <row r="52" spans="2:22" x14ac:dyDescent="0.4">
      <c r="B52">
        <v>51</v>
      </c>
      <c r="C52">
        <v>60</v>
      </c>
      <c r="D52">
        <v>1341</v>
      </c>
      <c r="E52">
        <v>19</v>
      </c>
      <c r="F52">
        <v>150</v>
      </c>
      <c r="G52">
        <v>5720</v>
      </c>
      <c r="H52">
        <v>63</v>
      </c>
      <c r="I52">
        <v>59.18</v>
      </c>
      <c r="J52">
        <v>6</v>
      </c>
      <c r="K52">
        <v>10</v>
      </c>
      <c r="L52">
        <f t="shared" si="0"/>
        <v>2.3025850929940459</v>
      </c>
    </row>
    <row r="53" spans="2:22" ht="35.4" x14ac:dyDescent="0.6">
      <c r="B53">
        <v>52</v>
      </c>
      <c r="C53">
        <v>54</v>
      </c>
      <c r="D53">
        <v>1318</v>
      </c>
      <c r="E53">
        <v>2</v>
      </c>
      <c r="F53">
        <v>150</v>
      </c>
      <c r="G53">
        <v>5740</v>
      </c>
      <c r="H53">
        <v>54</v>
      </c>
      <c r="I53">
        <v>64.58</v>
      </c>
      <c r="J53">
        <v>3</v>
      </c>
      <c r="K53">
        <v>15</v>
      </c>
      <c r="L53">
        <f t="shared" si="0"/>
        <v>2.7080502011022101</v>
      </c>
      <c r="O53" s="1" t="s">
        <v>8</v>
      </c>
      <c r="P53" s="1" t="s">
        <v>6</v>
      </c>
      <c r="Q53" s="1" t="s">
        <v>5</v>
      </c>
      <c r="R53" s="1" t="s">
        <v>9</v>
      </c>
      <c r="S53" s="1" t="s">
        <v>3</v>
      </c>
      <c r="T53" s="1" t="s">
        <v>2</v>
      </c>
      <c r="U53" s="1" t="s">
        <v>1</v>
      </c>
      <c r="V53" s="1" t="s">
        <v>0</v>
      </c>
    </row>
    <row r="54" spans="2:22" x14ac:dyDescent="0.4">
      <c r="B54">
        <v>53</v>
      </c>
      <c r="C54">
        <v>53</v>
      </c>
      <c r="D54">
        <v>885</v>
      </c>
      <c r="E54">
        <v>-4</v>
      </c>
      <c r="F54">
        <v>80</v>
      </c>
      <c r="G54">
        <v>5740</v>
      </c>
      <c r="H54">
        <v>47</v>
      </c>
      <c r="I54">
        <v>67.099999999999994</v>
      </c>
      <c r="J54">
        <v>3</v>
      </c>
      <c r="K54">
        <v>23</v>
      </c>
      <c r="L54">
        <f t="shared" si="0"/>
        <v>3.1354942159291497</v>
      </c>
      <c r="O54">
        <f t="array" ref="O54:V58">LINEST(lny,xstep3,1,1)</f>
        <v>-4.0852436160628808E-2</v>
      </c>
      <c r="P54">
        <v>3.6446616735478048E-3</v>
      </c>
      <c r="Q54">
        <v>1.9886191396938087E-3</v>
      </c>
      <c r="R54">
        <v>-7.1484453106898107E-4</v>
      </c>
      <c r="S54">
        <v>-6.8108248821049409E-5</v>
      </c>
      <c r="T54">
        <v>6.1623623313507387E-3</v>
      </c>
      <c r="U54">
        <v>1.1728878630973823E-2</v>
      </c>
      <c r="V54">
        <v>-9.9595487020489841</v>
      </c>
    </row>
    <row r="55" spans="2:22" x14ac:dyDescent="0.4">
      <c r="B55">
        <v>54</v>
      </c>
      <c r="C55">
        <v>53</v>
      </c>
      <c r="D55">
        <v>360</v>
      </c>
      <c r="E55">
        <v>3</v>
      </c>
      <c r="F55">
        <v>40</v>
      </c>
      <c r="G55">
        <v>5740</v>
      </c>
      <c r="H55">
        <v>56</v>
      </c>
      <c r="I55">
        <v>67.099999999999994</v>
      </c>
      <c r="J55">
        <v>3</v>
      </c>
      <c r="K55">
        <v>17</v>
      </c>
      <c r="L55">
        <f t="shared" si="0"/>
        <v>2.8332133440562162</v>
      </c>
      <c r="O55">
        <v>1.9638288437837739E-2</v>
      </c>
      <c r="P55">
        <v>2.0801167193184936E-3</v>
      </c>
      <c r="Q55">
        <v>6.419190378471279E-4</v>
      </c>
      <c r="R55">
        <v>4.5425314402925044E-4</v>
      </c>
      <c r="S55">
        <v>2.4566829845765816E-5</v>
      </c>
      <c r="T55">
        <v>6.1355054906017349E-3</v>
      </c>
      <c r="U55">
        <v>1.7215099905942804E-3</v>
      </c>
      <c r="V55">
        <v>3.5559984910594316</v>
      </c>
    </row>
    <row r="56" spans="2:22" x14ac:dyDescent="0.4">
      <c r="B56">
        <v>55</v>
      </c>
      <c r="C56">
        <v>44</v>
      </c>
      <c r="D56">
        <v>3497</v>
      </c>
      <c r="E56">
        <v>73</v>
      </c>
      <c r="F56">
        <v>40</v>
      </c>
      <c r="G56">
        <v>5670</v>
      </c>
      <c r="H56">
        <v>61</v>
      </c>
      <c r="I56">
        <v>49.46</v>
      </c>
      <c r="J56">
        <v>7</v>
      </c>
      <c r="K56">
        <v>7</v>
      </c>
      <c r="L56">
        <f t="shared" si="0"/>
        <v>1.9459101490553132</v>
      </c>
      <c r="O56">
        <v>0.69337877791905422</v>
      </c>
      <c r="P56">
        <v>0.32989582133986939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 spans="2:22" x14ac:dyDescent="0.4">
      <c r="B57">
        <v>56</v>
      </c>
      <c r="C57">
        <v>40</v>
      </c>
      <c r="D57">
        <v>5000</v>
      </c>
      <c r="E57">
        <v>73</v>
      </c>
      <c r="F57">
        <v>80</v>
      </c>
      <c r="G57">
        <v>5550</v>
      </c>
      <c r="H57">
        <v>74</v>
      </c>
      <c r="I57">
        <v>40.1</v>
      </c>
      <c r="J57">
        <v>10</v>
      </c>
      <c r="K57">
        <v>2</v>
      </c>
      <c r="L57">
        <f t="shared" si="0"/>
        <v>0.69314718055994529</v>
      </c>
      <c r="O57">
        <v>23.259629431554348</v>
      </c>
      <c r="P57">
        <v>72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 spans="2:22" x14ac:dyDescent="0.4">
      <c r="B58">
        <v>57</v>
      </c>
      <c r="C58">
        <v>30</v>
      </c>
      <c r="D58">
        <v>5000</v>
      </c>
      <c r="E58">
        <v>44</v>
      </c>
      <c r="F58">
        <v>300</v>
      </c>
      <c r="G58">
        <v>5470</v>
      </c>
      <c r="H58">
        <v>46</v>
      </c>
      <c r="I58">
        <v>29.3</v>
      </c>
      <c r="J58">
        <v>7</v>
      </c>
      <c r="K58">
        <v>3</v>
      </c>
      <c r="L58">
        <f t="shared" si="0"/>
        <v>1.0986122886681098</v>
      </c>
      <c r="O58">
        <v>17.719622297287216</v>
      </c>
      <c r="P58">
        <v>7.835850211500504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 spans="2:22" x14ac:dyDescent="0.4">
      <c r="B59">
        <v>58</v>
      </c>
      <c r="C59">
        <v>25</v>
      </c>
      <c r="D59">
        <v>5000</v>
      </c>
      <c r="E59">
        <v>39</v>
      </c>
      <c r="F59">
        <v>200</v>
      </c>
      <c r="G59">
        <v>5320</v>
      </c>
      <c r="H59">
        <v>45</v>
      </c>
      <c r="I59">
        <v>27.5</v>
      </c>
      <c r="J59">
        <v>11</v>
      </c>
      <c r="K59">
        <v>3</v>
      </c>
      <c r="L59">
        <f t="shared" si="0"/>
        <v>1.0986122886681098</v>
      </c>
      <c r="N59" t="s">
        <v>10</v>
      </c>
      <c r="O59">
        <f>O54/O55</f>
        <v>-2.0802442274916926</v>
      </c>
      <c r="P59">
        <f t="shared" ref="P59:V59" si="6">P54/P55</f>
        <v>1.7521428676088433</v>
      </c>
      <c r="Q59">
        <f t="shared" si="6"/>
        <v>3.0979282782502477</v>
      </c>
      <c r="R59">
        <f t="shared" si="6"/>
        <v>-1.5736699689698803</v>
      </c>
      <c r="S59">
        <f t="shared" si="6"/>
        <v>-2.7723662047013411</v>
      </c>
      <c r="T59">
        <f t="shared" si="6"/>
        <v>1.0043772824896242</v>
      </c>
      <c r="U59">
        <f t="shared" si="6"/>
        <v>6.8131342223142788</v>
      </c>
      <c r="V59">
        <f t="shared" si="6"/>
        <v>-2.8007741642999844</v>
      </c>
    </row>
    <row r="60" spans="2:22" x14ac:dyDescent="0.4">
      <c r="B60">
        <v>59</v>
      </c>
      <c r="C60">
        <v>40</v>
      </c>
      <c r="D60">
        <v>5000</v>
      </c>
      <c r="E60">
        <v>-12</v>
      </c>
      <c r="F60">
        <v>140</v>
      </c>
      <c r="G60">
        <v>5530</v>
      </c>
      <c r="H60">
        <v>43</v>
      </c>
      <c r="I60">
        <v>33.619999999999997</v>
      </c>
      <c r="J60">
        <v>3</v>
      </c>
      <c r="K60">
        <v>4</v>
      </c>
      <c r="L60">
        <f t="shared" si="0"/>
        <v>1.3862943611198906</v>
      </c>
      <c r="N60" t="s">
        <v>11</v>
      </c>
      <c r="O60">
        <f t="shared" ref="O60:V60" si="7">TDIST(ABS(O59),$P57,2)</f>
        <v>4.1062875977080082E-2</v>
      </c>
      <c r="P60">
        <f t="shared" si="7"/>
        <v>8.4006857827307949E-2</v>
      </c>
      <c r="Q60">
        <f t="shared" si="7"/>
        <v>2.7784246271070324E-3</v>
      </c>
      <c r="R60">
        <f t="shared" si="7"/>
        <v>0.1199480493190542</v>
      </c>
      <c r="S60">
        <f t="shared" si="7"/>
        <v>7.0794253526708061E-3</v>
      </c>
      <c r="T60">
        <f t="shared" si="7"/>
        <v>0.31856039798517177</v>
      </c>
      <c r="U60">
        <f t="shared" si="7"/>
        <v>2.4393542890492962E-9</v>
      </c>
      <c r="V60">
        <f t="shared" si="7"/>
        <v>6.541841381290092E-3</v>
      </c>
    </row>
    <row r="61" spans="2:22" x14ac:dyDescent="0.4">
      <c r="B61">
        <v>60</v>
      </c>
      <c r="C61">
        <v>45</v>
      </c>
      <c r="D61">
        <v>5000</v>
      </c>
      <c r="E61">
        <v>-2</v>
      </c>
      <c r="F61">
        <v>140</v>
      </c>
      <c r="G61">
        <v>5600</v>
      </c>
      <c r="H61">
        <v>21</v>
      </c>
      <c r="I61">
        <v>39.020000000000003</v>
      </c>
      <c r="J61">
        <v>3</v>
      </c>
      <c r="K61">
        <v>6</v>
      </c>
      <c r="L61">
        <f t="shared" si="0"/>
        <v>1.791759469228055</v>
      </c>
    </row>
    <row r="62" spans="2:22" x14ac:dyDescent="0.4">
      <c r="B62">
        <v>61</v>
      </c>
      <c r="C62">
        <v>51</v>
      </c>
      <c r="D62">
        <v>5000</v>
      </c>
      <c r="E62">
        <v>30</v>
      </c>
      <c r="F62">
        <v>140</v>
      </c>
      <c r="G62">
        <v>5660</v>
      </c>
      <c r="H62">
        <v>57</v>
      </c>
      <c r="I62">
        <v>42.08</v>
      </c>
      <c r="J62">
        <v>7</v>
      </c>
      <c r="K62">
        <v>7</v>
      </c>
      <c r="L62">
        <f t="shared" si="0"/>
        <v>1.9459101490553132</v>
      </c>
    </row>
    <row r="63" spans="2:22" x14ac:dyDescent="0.4">
      <c r="B63">
        <v>62</v>
      </c>
      <c r="C63">
        <v>48</v>
      </c>
      <c r="D63">
        <v>3608</v>
      </c>
      <c r="E63">
        <v>24</v>
      </c>
      <c r="F63">
        <v>100</v>
      </c>
      <c r="G63">
        <v>5580</v>
      </c>
      <c r="H63">
        <v>42</v>
      </c>
      <c r="I63">
        <v>39.380000000000003</v>
      </c>
      <c r="J63">
        <v>5</v>
      </c>
      <c r="K63">
        <v>7</v>
      </c>
      <c r="L63">
        <f t="shared" si="0"/>
        <v>1.9459101490553132</v>
      </c>
    </row>
    <row r="64" spans="2:22" x14ac:dyDescent="0.4">
      <c r="B64">
        <v>63</v>
      </c>
      <c r="C64">
        <v>45</v>
      </c>
      <c r="D64">
        <v>5000</v>
      </c>
      <c r="E64">
        <v>38</v>
      </c>
      <c r="F64">
        <v>140</v>
      </c>
      <c r="G64">
        <v>5510</v>
      </c>
      <c r="H64">
        <v>50</v>
      </c>
      <c r="I64">
        <v>32.9</v>
      </c>
      <c r="J64">
        <v>5</v>
      </c>
      <c r="K64">
        <v>6</v>
      </c>
      <c r="L64">
        <f t="shared" si="0"/>
        <v>1.791759469228055</v>
      </c>
    </row>
    <row r="65" spans="2:21" x14ac:dyDescent="0.4">
      <c r="B65">
        <v>64</v>
      </c>
      <c r="C65">
        <v>47</v>
      </c>
      <c r="D65">
        <v>5000</v>
      </c>
      <c r="E65">
        <v>56</v>
      </c>
      <c r="F65">
        <v>200</v>
      </c>
      <c r="G65">
        <v>5530</v>
      </c>
      <c r="H65">
        <v>61</v>
      </c>
      <c r="I65">
        <v>35.6</v>
      </c>
      <c r="J65">
        <v>5</v>
      </c>
      <c r="K65">
        <v>3</v>
      </c>
      <c r="L65">
        <f t="shared" si="0"/>
        <v>1.0986122886681098</v>
      </c>
    </row>
    <row r="66" spans="2:21" ht="17.7" x14ac:dyDescent="0.6">
      <c r="B66">
        <v>65</v>
      </c>
      <c r="C66">
        <v>43</v>
      </c>
      <c r="D66">
        <v>5000</v>
      </c>
      <c r="E66">
        <v>66</v>
      </c>
      <c r="F66">
        <v>120</v>
      </c>
      <c r="G66">
        <v>5620</v>
      </c>
      <c r="H66">
        <v>61</v>
      </c>
      <c r="I66">
        <v>34.340000000000003</v>
      </c>
      <c r="J66">
        <v>9</v>
      </c>
      <c r="K66">
        <v>2</v>
      </c>
      <c r="L66">
        <f t="shared" si="0"/>
        <v>0.69314718055994529</v>
      </c>
      <c r="O66" s="1" t="s">
        <v>8</v>
      </c>
      <c r="P66" s="1" t="s">
        <v>6</v>
      </c>
      <c r="Q66" s="1" t="s">
        <v>5</v>
      </c>
      <c r="R66" s="1" t="s">
        <v>9</v>
      </c>
      <c r="S66" s="1" t="s">
        <v>3</v>
      </c>
      <c r="T66" s="1" t="s">
        <v>1</v>
      </c>
      <c r="U66" s="1" t="s">
        <v>0</v>
      </c>
    </row>
    <row r="67" spans="2:21" x14ac:dyDescent="0.4">
      <c r="B67">
        <v>66</v>
      </c>
      <c r="C67">
        <v>49</v>
      </c>
      <c r="D67">
        <v>613</v>
      </c>
      <c r="E67">
        <v>-27</v>
      </c>
      <c r="F67">
        <v>300</v>
      </c>
      <c r="G67">
        <v>5690</v>
      </c>
      <c r="H67">
        <v>60</v>
      </c>
      <c r="I67">
        <v>59.72</v>
      </c>
      <c r="J67">
        <v>0</v>
      </c>
      <c r="K67">
        <v>8</v>
      </c>
      <c r="L67">
        <f t="shared" ref="L67:L81" si="8">LN(K67)</f>
        <v>2.0794415416798357</v>
      </c>
      <c r="O67">
        <f t="array" ref="O67:U71">LINEST(lny,xstep4,1,1)</f>
        <v>-4.031356976813974E-2</v>
      </c>
      <c r="P67">
        <v>3.5509018840451582E-3</v>
      </c>
      <c r="Q67">
        <v>2.4143752773334156E-3</v>
      </c>
      <c r="R67">
        <v>-7.4211331210400635E-4</v>
      </c>
      <c r="S67">
        <v>-7.0492885655034474E-5</v>
      </c>
      <c r="T67">
        <v>1.2136825299056483E-2</v>
      </c>
      <c r="U67">
        <v>-12.075652668995637</v>
      </c>
    </row>
    <row r="68" spans="2:21" x14ac:dyDescent="0.4">
      <c r="B68">
        <v>67</v>
      </c>
      <c r="C68">
        <v>56</v>
      </c>
      <c r="D68">
        <v>334</v>
      </c>
      <c r="E68">
        <v>-9</v>
      </c>
      <c r="F68">
        <v>300</v>
      </c>
      <c r="G68">
        <v>5760</v>
      </c>
      <c r="H68">
        <v>31</v>
      </c>
      <c r="I68">
        <v>64.400000000000006</v>
      </c>
      <c r="J68">
        <v>4</v>
      </c>
      <c r="K68">
        <v>12</v>
      </c>
      <c r="L68">
        <f t="shared" si="8"/>
        <v>2.4849066497880004</v>
      </c>
      <c r="O68">
        <v>1.9632137904715918E-2</v>
      </c>
      <c r="P68">
        <v>2.0781458366560621E-3</v>
      </c>
      <c r="Q68">
        <v>4.8207494870420214E-4</v>
      </c>
      <c r="R68">
        <v>4.5346831359780349E-4</v>
      </c>
      <c r="S68">
        <v>2.4453301476634433E-5</v>
      </c>
      <c r="T68">
        <v>1.6730092507418839E-3</v>
      </c>
      <c r="U68">
        <v>2.8648144235730362</v>
      </c>
    </row>
    <row r="69" spans="2:21" x14ac:dyDescent="0.4">
      <c r="B69">
        <v>68</v>
      </c>
      <c r="C69">
        <v>53</v>
      </c>
      <c r="D69">
        <v>567</v>
      </c>
      <c r="E69">
        <v>13</v>
      </c>
      <c r="F69">
        <v>150</v>
      </c>
      <c r="G69">
        <v>5740</v>
      </c>
      <c r="H69">
        <v>66</v>
      </c>
      <c r="I69">
        <v>61.88</v>
      </c>
      <c r="J69">
        <v>3</v>
      </c>
      <c r="K69">
        <v>12</v>
      </c>
      <c r="L69">
        <f t="shared" si="8"/>
        <v>2.4849066497880004</v>
      </c>
      <c r="O69">
        <v>0.68908278580043103</v>
      </c>
      <c r="P69">
        <v>0.32991564550729091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</row>
    <row r="70" spans="2:21" x14ac:dyDescent="0.4">
      <c r="B70">
        <v>69</v>
      </c>
      <c r="C70">
        <v>61</v>
      </c>
      <c r="D70">
        <v>488</v>
      </c>
      <c r="E70">
        <v>-20</v>
      </c>
      <c r="F70">
        <v>2</v>
      </c>
      <c r="G70">
        <v>5780</v>
      </c>
      <c r="H70">
        <v>53</v>
      </c>
      <c r="I70">
        <v>64.94</v>
      </c>
      <c r="J70">
        <v>5</v>
      </c>
      <c r="K70">
        <v>16</v>
      </c>
      <c r="L70">
        <f t="shared" si="8"/>
        <v>2.7725887222397811</v>
      </c>
      <c r="O70">
        <v>26.964864528827796</v>
      </c>
      <c r="P70">
        <v>73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</row>
    <row r="71" spans="2:21" x14ac:dyDescent="0.4">
      <c r="B71">
        <v>70</v>
      </c>
      <c r="C71">
        <v>63</v>
      </c>
      <c r="D71">
        <v>531</v>
      </c>
      <c r="E71">
        <v>-15</v>
      </c>
      <c r="F71">
        <v>50</v>
      </c>
      <c r="G71">
        <v>5790</v>
      </c>
      <c r="H71">
        <v>42</v>
      </c>
      <c r="I71">
        <v>71.06</v>
      </c>
      <c r="J71">
        <v>2</v>
      </c>
      <c r="K71">
        <v>9</v>
      </c>
      <c r="L71">
        <f t="shared" si="8"/>
        <v>2.1972245773362196</v>
      </c>
      <c r="O71">
        <v>17.609836188801772</v>
      </c>
      <c r="P71">
        <v>7.9456363199859483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</row>
    <row r="72" spans="2:21" x14ac:dyDescent="0.4">
      <c r="B72">
        <v>71</v>
      </c>
      <c r="C72">
        <v>70</v>
      </c>
      <c r="D72">
        <v>508</v>
      </c>
      <c r="E72">
        <v>7</v>
      </c>
      <c r="F72">
        <v>70</v>
      </c>
      <c r="G72">
        <v>5760</v>
      </c>
      <c r="H72">
        <v>60</v>
      </c>
      <c r="I72">
        <v>66.56</v>
      </c>
      <c r="J72">
        <v>3</v>
      </c>
      <c r="K72">
        <v>24</v>
      </c>
      <c r="L72">
        <f t="shared" si="8"/>
        <v>3.1780538303479458</v>
      </c>
      <c r="N72" t="s">
        <v>10</v>
      </c>
      <c r="O72">
        <f>O67/O68</f>
        <v>-2.053447768337846</v>
      </c>
      <c r="P72">
        <f t="shared" ref="P72:U72" si="9">P67/P68</f>
        <v>1.7086875335750753</v>
      </c>
      <c r="Q72">
        <f t="shared" si="9"/>
        <v>5.0082985722928735</v>
      </c>
      <c r="R72">
        <f t="shared" si="9"/>
        <v>-1.63652738207021</v>
      </c>
      <c r="S72">
        <f t="shared" si="9"/>
        <v>-2.8827553499224505</v>
      </c>
      <c r="T72">
        <f t="shared" si="9"/>
        <v>7.254487859929343</v>
      </c>
      <c r="U72">
        <f t="shared" si="9"/>
        <v>-4.2151605247556372</v>
      </c>
    </row>
    <row r="73" spans="2:21" x14ac:dyDescent="0.4">
      <c r="B73">
        <v>72</v>
      </c>
      <c r="C73">
        <v>57</v>
      </c>
      <c r="D73">
        <v>1571</v>
      </c>
      <c r="E73">
        <v>68</v>
      </c>
      <c r="F73">
        <v>17</v>
      </c>
      <c r="G73">
        <v>5700</v>
      </c>
      <c r="H73">
        <v>82</v>
      </c>
      <c r="I73">
        <v>56.3</v>
      </c>
      <c r="J73">
        <v>4</v>
      </c>
      <c r="K73">
        <v>13</v>
      </c>
      <c r="L73">
        <f t="shared" si="8"/>
        <v>2.5649493574615367</v>
      </c>
      <c r="N73" t="s">
        <v>11</v>
      </c>
      <c r="O73">
        <f t="shared" ref="O73:U73" si="10">TDIST(ABS(O72),$P70,2)</f>
        <v>4.3612223506633324E-2</v>
      </c>
      <c r="P73">
        <f t="shared" si="10"/>
        <v>9.1757657599885203E-2</v>
      </c>
      <c r="Q73">
        <f t="shared" si="10"/>
        <v>3.694054170088182E-6</v>
      </c>
      <c r="R73">
        <f t="shared" si="10"/>
        <v>0.10603366916282878</v>
      </c>
      <c r="S73">
        <f t="shared" si="10"/>
        <v>5.1753829748658184E-3</v>
      </c>
      <c r="T73">
        <f t="shared" si="10"/>
        <v>3.5051564271416334E-10</v>
      </c>
      <c r="U73">
        <f t="shared" si="10"/>
        <v>7.0553434474993364E-5</v>
      </c>
    </row>
    <row r="74" spans="2:21" x14ac:dyDescent="0.4">
      <c r="B74">
        <v>73</v>
      </c>
      <c r="C74">
        <v>35</v>
      </c>
      <c r="D74">
        <v>721</v>
      </c>
      <c r="E74">
        <v>28</v>
      </c>
      <c r="F74">
        <v>140</v>
      </c>
      <c r="G74">
        <v>5680</v>
      </c>
      <c r="H74">
        <v>57</v>
      </c>
      <c r="I74">
        <v>55.4</v>
      </c>
      <c r="J74">
        <v>4</v>
      </c>
      <c r="K74">
        <v>8</v>
      </c>
      <c r="L74">
        <f t="shared" si="8"/>
        <v>2.0794415416798357</v>
      </c>
    </row>
    <row r="75" spans="2:21" x14ac:dyDescent="0.4">
      <c r="B75">
        <v>74</v>
      </c>
      <c r="C75">
        <v>52</v>
      </c>
      <c r="D75">
        <v>505</v>
      </c>
      <c r="E75">
        <v>-49</v>
      </c>
      <c r="F75">
        <v>140</v>
      </c>
      <c r="G75">
        <v>5720</v>
      </c>
      <c r="H75">
        <v>21</v>
      </c>
      <c r="I75">
        <v>67.28</v>
      </c>
      <c r="J75">
        <v>5</v>
      </c>
      <c r="K75">
        <v>10</v>
      </c>
      <c r="L75">
        <f t="shared" si="8"/>
        <v>2.3025850929940459</v>
      </c>
    </row>
    <row r="76" spans="2:21" x14ac:dyDescent="0.4">
      <c r="B76">
        <v>75</v>
      </c>
      <c r="C76">
        <v>59</v>
      </c>
      <c r="D76">
        <v>377</v>
      </c>
      <c r="E76">
        <v>-27</v>
      </c>
      <c r="F76">
        <v>300</v>
      </c>
      <c r="G76">
        <v>5720</v>
      </c>
      <c r="H76">
        <v>19</v>
      </c>
      <c r="I76">
        <v>73.22</v>
      </c>
      <c r="J76">
        <v>5</v>
      </c>
      <c r="K76">
        <v>8</v>
      </c>
      <c r="L76">
        <f t="shared" si="8"/>
        <v>2.0794415416798357</v>
      </c>
    </row>
    <row r="77" spans="2:21" x14ac:dyDescent="0.4">
      <c r="B77">
        <v>76</v>
      </c>
      <c r="C77">
        <v>67</v>
      </c>
      <c r="D77">
        <v>442</v>
      </c>
      <c r="E77">
        <v>-9</v>
      </c>
      <c r="F77">
        <v>200</v>
      </c>
      <c r="G77">
        <v>5730</v>
      </c>
      <c r="H77">
        <v>32</v>
      </c>
      <c r="I77">
        <v>75.739999999999995</v>
      </c>
      <c r="J77">
        <v>4</v>
      </c>
      <c r="K77">
        <v>9</v>
      </c>
      <c r="L77">
        <f t="shared" si="8"/>
        <v>2.1972245773362196</v>
      </c>
    </row>
    <row r="78" spans="2:21" ht="17.7" x14ac:dyDescent="0.6">
      <c r="B78">
        <v>77</v>
      </c>
      <c r="C78">
        <v>57</v>
      </c>
      <c r="D78">
        <v>902</v>
      </c>
      <c r="E78">
        <v>54</v>
      </c>
      <c r="F78">
        <v>250</v>
      </c>
      <c r="G78">
        <v>5710</v>
      </c>
      <c r="H78">
        <v>77</v>
      </c>
      <c r="I78">
        <v>60.44</v>
      </c>
      <c r="J78">
        <v>5</v>
      </c>
      <c r="K78">
        <v>10</v>
      </c>
      <c r="L78">
        <f t="shared" si="8"/>
        <v>2.3025850929940459</v>
      </c>
      <c r="O78" s="1" t="s">
        <v>8</v>
      </c>
      <c r="P78" s="1" t="s">
        <v>6</v>
      </c>
      <c r="Q78" s="1" t="s">
        <v>5</v>
      </c>
      <c r="R78" s="1" t="s">
        <v>3</v>
      </c>
      <c r="S78" s="1" t="s">
        <v>1</v>
      </c>
      <c r="T78" s="1" t="s">
        <v>0</v>
      </c>
    </row>
    <row r="79" spans="2:21" x14ac:dyDescent="0.4">
      <c r="B79">
        <v>78</v>
      </c>
      <c r="C79">
        <v>42</v>
      </c>
      <c r="D79">
        <v>1381</v>
      </c>
      <c r="E79">
        <v>4</v>
      </c>
      <c r="F79">
        <v>60</v>
      </c>
      <c r="G79">
        <v>5720</v>
      </c>
      <c r="H79">
        <v>71</v>
      </c>
      <c r="I79">
        <v>56.3</v>
      </c>
      <c r="J79">
        <v>4</v>
      </c>
      <c r="K79">
        <v>14</v>
      </c>
      <c r="L79">
        <f t="shared" si="8"/>
        <v>2.6390573296152584</v>
      </c>
      <c r="O79">
        <f t="array" ref="O79:T83">LINEST(lny,xstep5,1,1)</f>
        <v>-4.3262305481915522E-2</v>
      </c>
      <c r="P79">
        <v>4.3442966728575033E-3</v>
      </c>
      <c r="Q79">
        <v>2.4641911966152832E-3</v>
      </c>
      <c r="R79">
        <v>-8.1764834155087775E-5</v>
      </c>
      <c r="S79">
        <v>1.1951027197820738E-2</v>
      </c>
      <c r="T79">
        <v>-12.462387265079229</v>
      </c>
    </row>
    <row r="80" spans="2:21" x14ac:dyDescent="0.4">
      <c r="B80">
        <v>79</v>
      </c>
      <c r="C80">
        <v>55</v>
      </c>
      <c r="D80">
        <v>5000</v>
      </c>
      <c r="E80">
        <v>-16</v>
      </c>
      <c r="F80">
        <v>100</v>
      </c>
      <c r="G80">
        <v>5710</v>
      </c>
      <c r="H80">
        <v>19</v>
      </c>
      <c r="I80">
        <v>50</v>
      </c>
      <c r="J80">
        <v>3</v>
      </c>
      <c r="K80">
        <v>9</v>
      </c>
      <c r="L80">
        <f t="shared" si="8"/>
        <v>2.1972245773362196</v>
      </c>
      <c r="O80">
        <v>1.976971096065918E-2</v>
      </c>
      <c r="P80">
        <v>2.0435917462756493E-3</v>
      </c>
      <c r="Q80">
        <v>4.8653785730843642E-4</v>
      </c>
      <c r="R80">
        <v>2.3727797017075705E-5</v>
      </c>
      <c r="S80">
        <v>1.6879735895200575E-3</v>
      </c>
      <c r="T80">
        <v>2.8872440779842687</v>
      </c>
    </row>
    <row r="81" spans="2:20" x14ac:dyDescent="0.4">
      <c r="B81">
        <v>80</v>
      </c>
      <c r="C81">
        <v>40</v>
      </c>
      <c r="D81">
        <v>5000</v>
      </c>
      <c r="E81">
        <v>38</v>
      </c>
      <c r="F81">
        <v>150</v>
      </c>
      <c r="G81">
        <v>5600</v>
      </c>
      <c r="H81">
        <v>45</v>
      </c>
      <c r="I81">
        <v>46.94</v>
      </c>
      <c r="J81">
        <v>6</v>
      </c>
      <c r="K81">
        <v>11</v>
      </c>
      <c r="L81">
        <f t="shared" si="8"/>
        <v>2.3978952727983707</v>
      </c>
      <c r="O81">
        <v>0.6776758641081958</v>
      </c>
      <c r="P81">
        <v>0.33363569697091322</v>
      </c>
      <c r="Q81" t="e">
        <v>#N/A</v>
      </c>
      <c r="R81" t="e">
        <v>#N/A</v>
      </c>
      <c r="S81" t="e">
        <v>#N/A</v>
      </c>
      <c r="T81" t="e">
        <v>#N/A</v>
      </c>
    </row>
    <row r="82" spans="2:20" x14ac:dyDescent="0.4">
      <c r="O82">
        <v>31.116511833814315</v>
      </c>
      <c r="P82">
        <v>74</v>
      </c>
      <c r="Q82" t="e">
        <v>#N/A</v>
      </c>
      <c r="R82" t="e">
        <v>#N/A</v>
      </c>
      <c r="S82" t="e">
        <v>#N/A</v>
      </c>
      <c r="T82" t="e">
        <v>#N/A</v>
      </c>
    </row>
    <row r="83" spans="2:20" x14ac:dyDescent="0.4">
      <c r="O83">
        <v>17.318326915085962</v>
      </c>
      <c r="P83">
        <v>8.2371455937017597</v>
      </c>
      <c r="Q83" t="e">
        <v>#N/A</v>
      </c>
      <c r="R83" t="e">
        <v>#N/A</v>
      </c>
      <c r="S83" t="e">
        <v>#N/A</v>
      </c>
      <c r="T83" t="e">
        <v>#N/A</v>
      </c>
    </row>
    <row r="84" spans="2:20" x14ac:dyDescent="0.4">
      <c r="N84" t="s">
        <v>10</v>
      </c>
      <c r="O84">
        <f t="shared" ref="O84:T84" si="11">O79/O80</f>
        <v>-2.1883124931874587</v>
      </c>
      <c r="P84">
        <f t="shared" si="11"/>
        <v>2.1258143564020462</v>
      </c>
      <c r="Q84">
        <f t="shared" si="11"/>
        <v>5.0647470892550315</v>
      </c>
      <c r="R84">
        <f t="shared" si="11"/>
        <v>-3.4459513496447109</v>
      </c>
      <c r="S84">
        <f t="shared" si="11"/>
        <v>7.0801031911990879</v>
      </c>
      <c r="T84">
        <f t="shared" si="11"/>
        <v>-4.3163608370026871</v>
      </c>
    </row>
    <row r="85" spans="2:20" x14ac:dyDescent="0.4">
      <c r="D85" t="s">
        <v>13</v>
      </c>
      <c r="N85" t="s">
        <v>11</v>
      </c>
      <c r="O85">
        <f t="shared" ref="O85:T85" si="12">TDIST(ABS(O84),$P82,2)</f>
        <v>3.1803435718022861E-2</v>
      </c>
      <c r="P85">
        <f t="shared" si="12"/>
        <v>3.6855414962156989E-2</v>
      </c>
      <c r="Q85">
        <f t="shared" si="12"/>
        <v>2.9040321258582185E-6</v>
      </c>
      <c r="R85">
        <f t="shared" si="12"/>
        <v>9.412797419108555E-4</v>
      </c>
      <c r="S85">
        <f t="shared" si="12"/>
        <v>6.9677404949442919E-10</v>
      </c>
      <c r="T85">
        <f t="shared" si="12"/>
        <v>4.8457306290519464E-5</v>
      </c>
    </row>
    <row r="86" spans="2:20" ht="17.7" x14ac:dyDescent="0.6">
      <c r="C86" s="1" t="s">
        <v>0</v>
      </c>
      <c r="D86" s="1" t="s">
        <v>1</v>
      </c>
      <c r="E86" s="1" t="s">
        <v>2</v>
      </c>
      <c r="F86" s="1" t="s">
        <v>3</v>
      </c>
      <c r="G86" s="1" t="s">
        <v>4</v>
      </c>
      <c r="H86" s="1" t="s">
        <v>9</v>
      </c>
      <c r="I86" s="1" t="s">
        <v>5</v>
      </c>
      <c r="J86" s="1" t="s">
        <v>6</v>
      </c>
      <c r="K86" s="1" t="s">
        <v>8</v>
      </c>
      <c r="L86" s="1"/>
      <c r="M86" s="1"/>
    </row>
    <row r="87" spans="2:20" ht="19.8" x14ac:dyDescent="0.65">
      <c r="C87">
        <v>1</v>
      </c>
      <c r="D87">
        <v>1</v>
      </c>
      <c r="E87">
        <v>40</v>
      </c>
      <c r="F87">
        <v>2693</v>
      </c>
      <c r="G87">
        <v>-25</v>
      </c>
      <c r="H87">
        <v>250</v>
      </c>
      <c r="I87">
        <v>5710</v>
      </c>
      <c r="J87">
        <v>28</v>
      </c>
      <c r="K87">
        <v>4</v>
      </c>
      <c r="O87" s="9" t="s">
        <v>17</v>
      </c>
      <c r="P87" s="9"/>
      <c r="Q87" s="9"/>
      <c r="R87" s="9"/>
      <c r="S87" s="9"/>
    </row>
    <row r="88" spans="2:20" ht="19.8" x14ac:dyDescent="0.65">
      <c r="C88">
        <v>1</v>
      </c>
      <c r="D88">
        <v>2</v>
      </c>
      <c r="E88">
        <v>45</v>
      </c>
      <c r="F88">
        <v>590</v>
      </c>
      <c r="G88">
        <v>-24</v>
      </c>
      <c r="H88">
        <v>100</v>
      </c>
      <c r="I88">
        <v>5700</v>
      </c>
      <c r="J88">
        <v>37</v>
      </c>
      <c r="K88">
        <v>3</v>
      </c>
      <c r="O88" s="9"/>
      <c r="P88" s="9"/>
      <c r="Q88" s="9"/>
      <c r="R88" s="9"/>
      <c r="S88" s="9"/>
    </row>
    <row r="89" spans="2:20" ht="19.8" x14ac:dyDescent="0.65">
      <c r="C89">
        <v>1</v>
      </c>
      <c r="D89">
        <v>3</v>
      </c>
      <c r="E89">
        <v>54</v>
      </c>
      <c r="F89">
        <v>1450</v>
      </c>
      <c r="G89">
        <v>25</v>
      </c>
      <c r="H89">
        <v>60</v>
      </c>
      <c r="I89">
        <v>5760</v>
      </c>
      <c r="J89">
        <v>51</v>
      </c>
      <c r="K89">
        <v>3</v>
      </c>
      <c r="O89" s="9" t="s">
        <v>18</v>
      </c>
      <c r="P89" s="9"/>
      <c r="Q89" s="9"/>
      <c r="R89" s="9"/>
      <c r="S89" s="9"/>
    </row>
    <row r="90" spans="2:20" x14ac:dyDescent="0.4">
      <c r="C90">
        <v>1</v>
      </c>
      <c r="D90">
        <v>4</v>
      </c>
      <c r="E90">
        <v>35</v>
      </c>
      <c r="F90">
        <v>1568</v>
      </c>
      <c r="G90">
        <v>15</v>
      </c>
      <c r="H90">
        <v>60</v>
      </c>
      <c r="I90">
        <v>5720</v>
      </c>
      <c r="J90">
        <v>69</v>
      </c>
      <c r="K90">
        <v>4</v>
      </c>
    </row>
    <row r="91" spans="2:20" x14ac:dyDescent="0.4">
      <c r="C91">
        <v>1</v>
      </c>
      <c r="D91">
        <v>5</v>
      </c>
      <c r="E91">
        <v>45</v>
      </c>
      <c r="F91">
        <v>2631</v>
      </c>
      <c r="G91">
        <v>-33</v>
      </c>
      <c r="H91">
        <v>100</v>
      </c>
      <c r="I91">
        <v>5790</v>
      </c>
      <c r="J91">
        <v>19</v>
      </c>
      <c r="K91">
        <v>6</v>
      </c>
    </row>
    <row r="92" spans="2:20" x14ac:dyDescent="0.4">
      <c r="C92">
        <v>1</v>
      </c>
      <c r="D92">
        <v>6</v>
      </c>
      <c r="E92">
        <v>55</v>
      </c>
      <c r="F92">
        <v>554</v>
      </c>
      <c r="G92">
        <v>-28</v>
      </c>
      <c r="H92">
        <v>250</v>
      </c>
      <c r="I92">
        <v>5790</v>
      </c>
      <c r="J92">
        <v>25</v>
      </c>
      <c r="K92">
        <v>3</v>
      </c>
      <c r="O92" t="s">
        <v>19</v>
      </c>
      <c r="R92" t="s">
        <v>20</v>
      </c>
    </row>
    <row r="93" spans="2:20" x14ac:dyDescent="0.4">
      <c r="C93">
        <v>1</v>
      </c>
      <c r="D93">
        <v>7</v>
      </c>
      <c r="E93">
        <v>41</v>
      </c>
      <c r="F93">
        <v>2083</v>
      </c>
      <c r="G93">
        <v>23</v>
      </c>
      <c r="H93">
        <v>120</v>
      </c>
      <c r="I93">
        <v>5700</v>
      </c>
      <c r="J93">
        <v>73</v>
      </c>
      <c r="K93">
        <v>3</v>
      </c>
      <c r="Q93">
        <v>10</v>
      </c>
      <c r="R93">
        <f>O30</f>
        <v>0.69615488965795225</v>
      </c>
    </row>
    <row r="94" spans="2:20" x14ac:dyDescent="0.4">
      <c r="C94">
        <v>1</v>
      </c>
      <c r="D94">
        <v>8</v>
      </c>
      <c r="E94">
        <v>44</v>
      </c>
      <c r="F94">
        <v>2654</v>
      </c>
      <c r="G94">
        <v>-2</v>
      </c>
      <c r="H94">
        <v>120</v>
      </c>
      <c r="I94">
        <v>5700</v>
      </c>
      <c r="J94">
        <v>59</v>
      </c>
      <c r="K94">
        <v>3</v>
      </c>
      <c r="Q94">
        <v>9</v>
      </c>
      <c r="R94">
        <f>O43</f>
        <v>0.69557032247992645</v>
      </c>
    </row>
    <row r="95" spans="2:20" x14ac:dyDescent="0.4">
      <c r="C95">
        <v>1</v>
      </c>
      <c r="D95">
        <v>9</v>
      </c>
      <c r="E95">
        <v>54</v>
      </c>
      <c r="F95">
        <v>5000</v>
      </c>
      <c r="G95">
        <v>-19</v>
      </c>
      <c r="H95">
        <v>120</v>
      </c>
      <c r="I95">
        <v>5770</v>
      </c>
      <c r="J95">
        <v>27</v>
      </c>
      <c r="K95">
        <v>8</v>
      </c>
      <c r="Q95">
        <v>8</v>
      </c>
      <c r="R95">
        <f>O56</f>
        <v>0.69337877791905422</v>
      </c>
    </row>
    <row r="96" spans="2:20" x14ac:dyDescent="0.4">
      <c r="C96">
        <v>1</v>
      </c>
      <c r="D96">
        <v>10</v>
      </c>
      <c r="E96">
        <v>51</v>
      </c>
      <c r="F96">
        <v>111</v>
      </c>
      <c r="G96">
        <v>9</v>
      </c>
      <c r="H96">
        <v>150</v>
      </c>
      <c r="I96">
        <v>5720</v>
      </c>
      <c r="J96">
        <v>44</v>
      </c>
      <c r="K96">
        <v>3</v>
      </c>
      <c r="Q96">
        <v>7</v>
      </c>
      <c r="R96">
        <f>O69</f>
        <v>0.68908278580043103</v>
      </c>
    </row>
    <row r="97" spans="3:18" x14ac:dyDescent="0.4">
      <c r="C97">
        <v>1</v>
      </c>
      <c r="D97">
        <v>11</v>
      </c>
      <c r="E97">
        <v>51</v>
      </c>
      <c r="F97">
        <v>492</v>
      </c>
      <c r="G97">
        <v>-44</v>
      </c>
      <c r="H97">
        <v>40</v>
      </c>
      <c r="I97">
        <v>5760</v>
      </c>
      <c r="J97">
        <v>33</v>
      </c>
      <c r="K97">
        <v>6</v>
      </c>
      <c r="Q97">
        <v>6</v>
      </c>
      <c r="R97">
        <f>O81</f>
        <v>0.6776758641081958</v>
      </c>
    </row>
    <row r="98" spans="3:18" x14ac:dyDescent="0.4">
      <c r="C98">
        <v>1</v>
      </c>
      <c r="D98">
        <v>12</v>
      </c>
      <c r="E98">
        <v>54</v>
      </c>
      <c r="F98">
        <v>5000</v>
      </c>
      <c r="G98">
        <v>-44</v>
      </c>
      <c r="H98">
        <v>200</v>
      </c>
      <c r="I98">
        <v>5780</v>
      </c>
      <c r="J98">
        <v>19</v>
      </c>
      <c r="K98">
        <v>6</v>
      </c>
    </row>
    <row r="99" spans="3:18" x14ac:dyDescent="0.4">
      <c r="C99">
        <v>1</v>
      </c>
      <c r="D99">
        <v>13</v>
      </c>
      <c r="E99">
        <v>58</v>
      </c>
      <c r="F99">
        <v>1249</v>
      </c>
      <c r="G99">
        <v>-53</v>
      </c>
      <c r="H99">
        <v>250</v>
      </c>
      <c r="I99">
        <v>5830</v>
      </c>
      <c r="J99">
        <v>19</v>
      </c>
      <c r="K99">
        <v>3</v>
      </c>
    </row>
    <row r="100" spans="3:18" x14ac:dyDescent="0.4">
      <c r="C100">
        <v>1</v>
      </c>
      <c r="D100">
        <v>14</v>
      </c>
      <c r="E100">
        <v>61</v>
      </c>
      <c r="F100">
        <v>5000</v>
      </c>
      <c r="G100">
        <v>-67</v>
      </c>
      <c r="H100">
        <v>200</v>
      </c>
      <c r="I100">
        <v>5870</v>
      </c>
      <c r="J100">
        <v>19</v>
      </c>
      <c r="K100">
        <v>2</v>
      </c>
    </row>
    <row r="101" spans="3:18" x14ac:dyDescent="0.4">
      <c r="C101">
        <v>1</v>
      </c>
      <c r="D101">
        <v>15</v>
      </c>
      <c r="E101">
        <v>64</v>
      </c>
      <c r="F101">
        <v>5000</v>
      </c>
      <c r="G101">
        <v>-40</v>
      </c>
      <c r="H101">
        <v>200</v>
      </c>
      <c r="I101">
        <v>5840</v>
      </c>
      <c r="J101">
        <v>19</v>
      </c>
      <c r="K101">
        <v>5</v>
      </c>
    </row>
    <row r="102" spans="3:18" x14ac:dyDescent="0.4">
      <c r="C102">
        <v>1</v>
      </c>
      <c r="D102">
        <v>16</v>
      </c>
      <c r="E102">
        <v>67</v>
      </c>
      <c r="F102">
        <v>639</v>
      </c>
      <c r="G102">
        <v>1</v>
      </c>
      <c r="H102">
        <v>150</v>
      </c>
      <c r="I102">
        <v>5780</v>
      </c>
      <c r="J102">
        <v>59</v>
      </c>
      <c r="K102">
        <v>4</v>
      </c>
    </row>
    <row r="103" spans="3:18" x14ac:dyDescent="0.4">
      <c r="C103">
        <v>1</v>
      </c>
      <c r="D103">
        <v>17</v>
      </c>
      <c r="E103">
        <v>52</v>
      </c>
      <c r="F103">
        <v>393</v>
      </c>
      <c r="G103">
        <v>-68</v>
      </c>
      <c r="H103">
        <v>10</v>
      </c>
      <c r="I103">
        <v>5680</v>
      </c>
      <c r="J103">
        <v>73</v>
      </c>
      <c r="K103">
        <v>5</v>
      </c>
    </row>
    <row r="104" spans="3:18" x14ac:dyDescent="0.4">
      <c r="C104">
        <v>1</v>
      </c>
      <c r="D104">
        <v>18</v>
      </c>
      <c r="E104">
        <v>54</v>
      </c>
      <c r="F104">
        <v>5000</v>
      </c>
      <c r="G104">
        <v>-66</v>
      </c>
      <c r="H104">
        <v>140</v>
      </c>
      <c r="I104">
        <v>5720</v>
      </c>
      <c r="J104">
        <v>19</v>
      </c>
      <c r="K104">
        <v>4</v>
      </c>
    </row>
    <row r="105" spans="3:18" x14ac:dyDescent="0.4">
      <c r="C105">
        <v>1</v>
      </c>
      <c r="D105">
        <v>19</v>
      </c>
      <c r="E105">
        <v>54</v>
      </c>
      <c r="F105">
        <v>5000</v>
      </c>
      <c r="G105">
        <v>-58</v>
      </c>
      <c r="H105">
        <v>250</v>
      </c>
      <c r="I105">
        <v>5760</v>
      </c>
      <c r="J105">
        <v>19</v>
      </c>
      <c r="K105">
        <v>3</v>
      </c>
    </row>
    <row r="106" spans="3:18" x14ac:dyDescent="0.4">
      <c r="C106">
        <v>1</v>
      </c>
      <c r="D106">
        <v>20</v>
      </c>
      <c r="E106">
        <v>58</v>
      </c>
      <c r="F106">
        <v>5000</v>
      </c>
      <c r="G106">
        <v>-26</v>
      </c>
      <c r="H106">
        <v>200</v>
      </c>
      <c r="I106">
        <v>5730</v>
      </c>
      <c r="J106">
        <v>26</v>
      </c>
      <c r="K106">
        <v>4</v>
      </c>
    </row>
    <row r="107" spans="3:18" x14ac:dyDescent="0.4">
      <c r="C107">
        <v>1</v>
      </c>
      <c r="D107">
        <v>21</v>
      </c>
      <c r="E107">
        <v>69</v>
      </c>
      <c r="F107">
        <v>3044</v>
      </c>
      <c r="G107">
        <v>18</v>
      </c>
      <c r="H107">
        <v>150</v>
      </c>
      <c r="I107">
        <v>5700</v>
      </c>
      <c r="J107">
        <v>59</v>
      </c>
      <c r="K107">
        <v>5</v>
      </c>
    </row>
    <row r="108" spans="3:18" x14ac:dyDescent="0.4">
      <c r="C108">
        <v>1</v>
      </c>
      <c r="D108">
        <v>22</v>
      </c>
      <c r="E108">
        <v>51</v>
      </c>
      <c r="F108">
        <v>3641</v>
      </c>
      <c r="G108">
        <v>23</v>
      </c>
      <c r="H108">
        <v>140</v>
      </c>
      <c r="I108">
        <v>5650</v>
      </c>
      <c r="J108">
        <v>70</v>
      </c>
      <c r="K108">
        <v>5</v>
      </c>
    </row>
    <row r="109" spans="3:18" x14ac:dyDescent="0.4">
      <c r="C109">
        <v>1</v>
      </c>
      <c r="D109">
        <v>23</v>
      </c>
      <c r="E109">
        <v>53</v>
      </c>
      <c r="F109">
        <v>111</v>
      </c>
      <c r="G109">
        <v>-10</v>
      </c>
      <c r="H109">
        <v>50</v>
      </c>
      <c r="I109">
        <v>5680</v>
      </c>
      <c r="J109">
        <v>64</v>
      </c>
      <c r="K109">
        <v>3</v>
      </c>
    </row>
    <row r="110" spans="3:18" x14ac:dyDescent="0.4">
      <c r="C110">
        <v>1</v>
      </c>
      <c r="D110">
        <v>24</v>
      </c>
      <c r="E110">
        <v>59</v>
      </c>
      <c r="F110">
        <v>597</v>
      </c>
      <c r="G110">
        <v>-52</v>
      </c>
      <c r="H110">
        <v>70</v>
      </c>
      <c r="I110">
        <v>5820</v>
      </c>
      <c r="J110">
        <v>19</v>
      </c>
      <c r="K110">
        <v>5</v>
      </c>
    </row>
    <row r="111" spans="3:18" x14ac:dyDescent="0.4">
      <c r="C111">
        <v>1</v>
      </c>
      <c r="D111">
        <v>25</v>
      </c>
      <c r="E111">
        <v>64</v>
      </c>
      <c r="F111">
        <v>1791</v>
      </c>
      <c r="G111">
        <v>-15</v>
      </c>
      <c r="H111">
        <v>150</v>
      </c>
      <c r="I111">
        <v>5810</v>
      </c>
      <c r="J111">
        <v>19</v>
      </c>
      <c r="K111">
        <v>5</v>
      </c>
    </row>
    <row r="112" spans="3:18" x14ac:dyDescent="0.4">
      <c r="C112">
        <v>1</v>
      </c>
      <c r="D112">
        <v>26</v>
      </c>
      <c r="E112">
        <v>63</v>
      </c>
      <c r="F112">
        <v>793</v>
      </c>
      <c r="G112">
        <v>-15</v>
      </c>
      <c r="H112">
        <v>120</v>
      </c>
      <c r="I112">
        <v>5790</v>
      </c>
      <c r="J112">
        <v>28</v>
      </c>
      <c r="K112">
        <v>3</v>
      </c>
    </row>
    <row r="113" spans="3:11" x14ac:dyDescent="0.4">
      <c r="C113">
        <v>1</v>
      </c>
      <c r="D113">
        <v>27</v>
      </c>
      <c r="E113">
        <v>63</v>
      </c>
      <c r="F113">
        <v>531</v>
      </c>
      <c r="G113">
        <v>-38</v>
      </c>
      <c r="H113">
        <v>40</v>
      </c>
      <c r="I113">
        <v>5800</v>
      </c>
      <c r="J113">
        <v>32</v>
      </c>
      <c r="K113">
        <v>2</v>
      </c>
    </row>
    <row r="114" spans="3:11" x14ac:dyDescent="0.4">
      <c r="C114">
        <v>1</v>
      </c>
      <c r="D114">
        <v>28</v>
      </c>
      <c r="E114">
        <v>62</v>
      </c>
      <c r="F114">
        <v>419</v>
      </c>
      <c r="G114">
        <v>-29</v>
      </c>
      <c r="H114">
        <v>120</v>
      </c>
      <c r="I114">
        <v>5820</v>
      </c>
      <c r="J114">
        <v>19</v>
      </c>
      <c r="K114">
        <v>5</v>
      </c>
    </row>
    <row r="115" spans="3:11" x14ac:dyDescent="0.4">
      <c r="C115">
        <v>1</v>
      </c>
      <c r="D115">
        <v>29</v>
      </c>
      <c r="E115">
        <v>63</v>
      </c>
      <c r="F115">
        <v>816</v>
      </c>
      <c r="G115">
        <v>-7</v>
      </c>
      <c r="H115">
        <v>6</v>
      </c>
      <c r="I115">
        <v>5770</v>
      </c>
      <c r="J115">
        <v>76</v>
      </c>
      <c r="K115">
        <v>8</v>
      </c>
    </row>
    <row r="116" spans="3:11" x14ac:dyDescent="0.4">
      <c r="C116">
        <v>1</v>
      </c>
      <c r="D116">
        <v>30</v>
      </c>
      <c r="E116">
        <v>54</v>
      </c>
      <c r="F116">
        <v>3651</v>
      </c>
      <c r="G116">
        <v>62</v>
      </c>
      <c r="H116">
        <v>30</v>
      </c>
      <c r="I116">
        <v>5670</v>
      </c>
      <c r="J116">
        <v>69</v>
      </c>
      <c r="K116">
        <v>3</v>
      </c>
    </row>
    <row r="117" spans="3:11" x14ac:dyDescent="0.4">
      <c r="C117">
        <v>1</v>
      </c>
      <c r="D117">
        <v>31</v>
      </c>
      <c r="E117">
        <v>36</v>
      </c>
      <c r="F117">
        <v>5000</v>
      </c>
      <c r="G117">
        <v>70</v>
      </c>
      <c r="H117">
        <v>100</v>
      </c>
      <c r="I117">
        <v>5590</v>
      </c>
      <c r="J117">
        <v>76</v>
      </c>
      <c r="K117">
        <v>3</v>
      </c>
    </row>
    <row r="118" spans="3:11" x14ac:dyDescent="0.4">
      <c r="C118">
        <v>1</v>
      </c>
      <c r="D118">
        <v>32</v>
      </c>
      <c r="E118">
        <v>31</v>
      </c>
      <c r="F118">
        <v>5000</v>
      </c>
      <c r="G118">
        <v>28</v>
      </c>
      <c r="H118">
        <v>200</v>
      </c>
      <c r="I118">
        <v>5410</v>
      </c>
      <c r="J118">
        <v>64</v>
      </c>
      <c r="K118">
        <v>6</v>
      </c>
    </row>
    <row r="119" spans="3:11" x14ac:dyDescent="0.4">
      <c r="C119">
        <v>1</v>
      </c>
      <c r="D119">
        <v>33</v>
      </c>
      <c r="E119">
        <v>30</v>
      </c>
      <c r="F119">
        <v>1341</v>
      </c>
      <c r="G119">
        <v>18</v>
      </c>
      <c r="H119">
        <v>60</v>
      </c>
      <c r="I119">
        <v>5350</v>
      </c>
      <c r="J119">
        <v>62</v>
      </c>
      <c r="K119">
        <v>7</v>
      </c>
    </row>
    <row r="120" spans="3:11" x14ac:dyDescent="0.4">
      <c r="C120">
        <v>1</v>
      </c>
      <c r="D120">
        <v>34</v>
      </c>
      <c r="E120">
        <v>36</v>
      </c>
      <c r="F120">
        <v>5000</v>
      </c>
      <c r="G120">
        <v>0</v>
      </c>
      <c r="H120">
        <v>350</v>
      </c>
      <c r="I120">
        <v>5480</v>
      </c>
      <c r="J120">
        <v>72</v>
      </c>
      <c r="K120">
        <v>9</v>
      </c>
    </row>
    <row r="121" spans="3:11" x14ac:dyDescent="0.4">
      <c r="C121">
        <v>1</v>
      </c>
      <c r="D121">
        <v>35</v>
      </c>
      <c r="E121">
        <v>42</v>
      </c>
      <c r="F121">
        <v>3799</v>
      </c>
      <c r="G121">
        <v>-18</v>
      </c>
      <c r="H121">
        <v>250</v>
      </c>
      <c r="I121">
        <v>5600</v>
      </c>
      <c r="J121">
        <v>76</v>
      </c>
      <c r="K121">
        <v>7</v>
      </c>
    </row>
    <row r="122" spans="3:11" x14ac:dyDescent="0.4">
      <c r="C122">
        <v>1</v>
      </c>
      <c r="D122">
        <v>36</v>
      </c>
      <c r="E122">
        <v>37</v>
      </c>
      <c r="F122">
        <v>5000</v>
      </c>
      <c r="G122">
        <v>32</v>
      </c>
      <c r="H122">
        <v>350</v>
      </c>
      <c r="I122">
        <v>5490</v>
      </c>
      <c r="J122">
        <v>72</v>
      </c>
      <c r="K122">
        <v>11</v>
      </c>
    </row>
    <row r="123" spans="3:11" x14ac:dyDescent="0.4">
      <c r="C123">
        <v>1</v>
      </c>
      <c r="D123">
        <v>37</v>
      </c>
      <c r="E123">
        <v>41</v>
      </c>
      <c r="F123">
        <v>5000</v>
      </c>
      <c r="G123">
        <v>-1</v>
      </c>
      <c r="H123">
        <v>300</v>
      </c>
      <c r="I123">
        <v>5560</v>
      </c>
      <c r="J123">
        <v>72</v>
      </c>
      <c r="K123">
        <v>10</v>
      </c>
    </row>
    <row r="124" spans="3:11" x14ac:dyDescent="0.4">
      <c r="C124">
        <v>1</v>
      </c>
      <c r="D124">
        <v>38</v>
      </c>
      <c r="E124">
        <v>46</v>
      </c>
      <c r="F124">
        <v>5000</v>
      </c>
      <c r="G124">
        <v>-30</v>
      </c>
      <c r="H124">
        <v>300</v>
      </c>
      <c r="I124">
        <v>5700</v>
      </c>
      <c r="J124">
        <v>32</v>
      </c>
      <c r="K124">
        <v>3</v>
      </c>
    </row>
    <row r="125" spans="3:11" x14ac:dyDescent="0.4">
      <c r="C125">
        <v>1</v>
      </c>
      <c r="D125">
        <v>39</v>
      </c>
      <c r="E125">
        <v>51</v>
      </c>
      <c r="F125">
        <v>5000</v>
      </c>
      <c r="G125">
        <v>-8</v>
      </c>
      <c r="H125">
        <v>300</v>
      </c>
      <c r="I125">
        <v>5680</v>
      </c>
      <c r="J125">
        <v>50</v>
      </c>
      <c r="K125">
        <v>5</v>
      </c>
    </row>
    <row r="126" spans="3:11" x14ac:dyDescent="0.4">
      <c r="C126">
        <v>1</v>
      </c>
      <c r="D126">
        <v>40</v>
      </c>
      <c r="E126">
        <v>55</v>
      </c>
      <c r="F126">
        <v>2398</v>
      </c>
      <c r="G126">
        <v>21</v>
      </c>
      <c r="H126">
        <v>200</v>
      </c>
      <c r="I126">
        <v>5700</v>
      </c>
      <c r="J126">
        <v>86</v>
      </c>
      <c r="K126">
        <v>4</v>
      </c>
    </row>
    <row r="127" spans="3:11" x14ac:dyDescent="0.4">
      <c r="C127">
        <v>1</v>
      </c>
      <c r="D127">
        <v>41</v>
      </c>
      <c r="E127">
        <v>41</v>
      </c>
      <c r="F127">
        <v>5000</v>
      </c>
      <c r="G127">
        <v>51</v>
      </c>
      <c r="H127">
        <v>100</v>
      </c>
      <c r="I127">
        <v>5650</v>
      </c>
      <c r="J127">
        <v>61</v>
      </c>
      <c r="K127">
        <v>5</v>
      </c>
    </row>
    <row r="128" spans="3:11" x14ac:dyDescent="0.4">
      <c r="C128">
        <v>1</v>
      </c>
      <c r="D128">
        <v>42</v>
      </c>
      <c r="E128">
        <v>41</v>
      </c>
      <c r="F128">
        <v>4281</v>
      </c>
      <c r="G128">
        <v>42</v>
      </c>
      <c r="H128">
        <v>250</v>
      </c>
      <c r="I128">
        <v>5610</v>
      </c>
      <c r="J128">
        <v>62</v>
      </c>
      <c r="K128">
        <v>5</v>
      </c>
    </row>
    <row r="129" spans="3:11" x14ac:dyDescent="0.4">
      <c r="C129">
        <v>1</v>
      </c>
      <c r="D129">
        <v>43</v>
      </c>
      <c r="E129">
        <v>49</v>
      </c>
      <c r="F129">
        <v>1161</v>
      </c>
      <c r="G129">
        <v>27</v>
      </c>
      <c r="H129">
        <v>200</v>
      </c>
      <c r="I129">
        <v>5730</v>
      </c>
      <c r="J129">
        <v>66</v>
      </c>
      <c r="K129">
        <v>5</v>
      </c>
    </row>
    <row r="130" spans="3:11" x14ac:dyDescent="0.4">
      <c r="C130">
        <v>1</v>
      </c>
      <c r="D130">
        <v>44</v>
      </c>
      <c r="E130">
        <v>45</v>
      </c>
      <c r="F130">
        <v>2778</v>
      </c>
      <c r="G130">
        <v>2</v>
      </c>
      <c r="H130">
        <v>200</v>
      </c>
      <c r="I130">
        <v>5770</v>
      </c>
      <c r="J130">
        <v>68</v>
      </c>
      <c r="K130">
        <v>5</v>
      </c>
    </row>
    <row r="131" spans="3:11" x14ac:dyDescent="0.4">
      <c r="C131">
        <v>1</v>
      </c>
      <c r="D131">
        <v>45</v>
      </c>
      <c r="E131">
        <v>55</v>
      </c>
      <c r="F131">
        <v>442</v>
      </c>
      <c r="G131">
        <v>26</v>
      </c>
      <c r="H131">
        <v>40</v>
      </c>
      <c r="I131">
        <v>5770</v>
      </c>
      <c r="J131">
        <v>82</v>
      </c>
      <c r="K131">
        <v>3</v>
      </c>
    </row>
    <row r="132" spans="3:11" x14ac:dyDescent="0.4">
      <c r="C132">
        <v>1</v>
      </c>
      <c r="D132">
        <v>46</v>
      </c>
      <c r="E132">
        <v>41</v>
      </c>
      <c r="F132">
        <v>5000</v>
      </c>
      <c r="G132">
        <v>-30</v>
      </c>
      <c r="H132">
        <v>300</v>
      </c>
      <c r="I132">
        <v>5690</v>
      </c>
      <c r="J132">
        <v>21</v>
      </c>
      <c r="K132">
        <v>8</v>
      </c>
    </row>
    <row r="133" spans="3:11" x14ac:dyDescent="0.4">
      <c r="C133">
        <v>1</v>
      </c>
      <c r="D133">
        <v>47</v>
      </c>
      <c r="E133">
        <v>45</v>
      </c>
      <c r="F133">
        <v>5000</v>
      </c>
      <c r="G133">
        <v>-53</v>
      </c>
      <c r="H133">
        <v>300</v>
      </c>
      <c r="I133">
        <v>5700</v>
      </c>
      <c r="J133">
        <v>19</v>
      </c>
      <c r="K133">
        <v>3</v>
      </c>
    </row>
    <row r="134" spans="3:11" x14ac:dyDescent="0.4">
      <c r="C134">
        <v>1</v>
      </c>
      <c r="D134">
        <v>48</v>
      </c>
      <c r="E134">
        <v>51</v>
      </c>
      <c r="F134">
        <v>5000</v>
      </c>
      <c r="G134">
        <v>-43</v>
      </c>
      <c r="H134">
        <v>300</v>
      </c>
      <c r="I134">
        <v>5730</v>
      </c>
      <c r="J134">
        <v>19</v>
      </c>
      <c r="K134">
        <v>11</v>
      </c>
    </row>
    <row r="135" spans="3:11" x14ac:dyDescent="0.4">
      <c r="C135">
        <v>1</v>
      </c>
      <c r="D135">
        <v>49</v>
      </c>
      <c r="E135">
        <v>53</v>
      </c>
      <c r="F135">
        <v>5000</v>
      </c>
      <c r="G135">
        <v>7</v>
      </c>
      <c r="H135">
        <v>300</v>
      </c>
      <c r="I135">
        <v>5690</v>
      </c>
      <c r="J135">
        <v>19</v>
      </c>
      <c r="K135">
        <v>7</v>
      </c>
    </row>
    <row r="136" spans="3:11" x14ac:dyDescent="0.4">
      <c r="C136">
        <v>1</v>
      </c>
      <c r="D136">
        <v>50</v>
      </c>
      <c r="E136">
        <v>50</v>
      </c>
      <c r="F136">
        <v>5000</v>
      </c>
      <c r="G136">
        <v>24</v>
      </c>
      <c r="H136">
        <v>300</v>
      </c>
      <c r="I136">
        <v>5640</v>
      </c>
      <c r="J136">
        <v>68</v>
      </c>
      <c r="K136">
        <v>5</v>
      </c>
    </row>
    <row r="137" spans="3:11" x14ac:dyDescent="0.4">
      <c r="C137">
        <v>1</v>
      </c>
      <c r="D137">
        <v>51</v>
      </c>
      <c r="E137">
        <v>60</v>
      </c>
      <c r="F137">
        <v>1341</v>
      </c>
      <c r="G137">
        <v>19</v>
      </c>
      <c r="H137">
        <v>150</v>
      </c>
      <c r="I137">
        <v>5720</v>
      </c>
      <c r="J137">
        <v>63</v>
      </c>
      <c r="K137">
        <v>6</v>
      </c>
    </row>
    <row r="138" spans="3:11" x14ac:dyDescent="0.4">
      <c r="C138">
        <v>1</v>
      </c>
      <c r="D138">
        <v>52</v>
      </c>
      <c r="E138">
        <v>54</v>
      </c>
      <c r="F138">
        <v>1318</v>
      </c>
      <c r="G138">
        <v>2</v>
      </c>
      <c r="H138">
        <v>150</v>
      </c>
      <c r="I138">
        <v>5740</v>
      </c>
      <c r="J138">
        <v>54</v>
      </c>
      <c r="K138">
        <v>3</v>
      </c>
    </row>
    <row r="139" spans="3:11" x14ac:dyDescent="0.4">
      <c r="C139">
        <v>1</v>
      </c>
      <c r="D139">
        <v>53</v>
      </c>
      <c r="E139">
        <v>53</v>
      </c>
      <c r="F139">
        <v>885</v>
      </c>
      <c r="G139">
        <v>-4</v>
      </c>
      <c r="H139">
        <v>80</v>
      </c>
      <c r="I139">
        <v>5740</v>
      </c>
      <c r="J139">
        <v>47</v>
      </c>
      <c r="K139">
        <v>3</v>
      </c>
    </row>
    <row r="140" spans="3:11" x14ac:dyDescent="0.4">
      <c r="C140">
        <v>1</v>
      </c>
      <c r="D140">
        <v>54</v>
      </c>
      <c r="E140">
        <v>53</v>
      </c>
      <c r="F140">
        <v>360</v>
      </c>
      <c r="G140">
        <v>3</v>
      </c>
      <c r="H140">
        <v>40</v>
      </c>
      <c r="I140">
        <v>5740</v>
      </c>
      <c r="J140">
        <v>56</v>
      </c>
      <c r="K140">
        <v>3</v>
      </c>
    </row>
    <row r="141" spans="3:11" x14ac:dyDescent="0.4">
      <c r="C141">
        <v>1</v>
      </c>
      <c r="D141">
        <v>55</v>
      </c>
      <c r="E141">
        <v>44</v>
      </c>
      <c r="F141">
        <v>3497</v>
      </c>
      <c r="G141">
        <v>73</v>
      </c>
      <c r="H141">
        <v>40</v>
      </c>
      <c r="I141">
        <v>5670</v>
      </c>
      <c r="J141">
        <v>61</v>
      </c>
      <c r="K141">
        <v>7</v>
      </c>
    </row>
    <row r="142" spans="3:11" x14ac:dyDescent="0.4">
      <c r="C142">
        <v>1</v>
      </c>
      <c r="D142">
        <v>56</v>
      </c>
      <c r="E142">
        <v>40</v>
      </c>
      <c r="F142">
        <v>5000</v>
      </c>
      <c r="G142">
        <v>73</v>
      </c>
      <c r="H142">
        <v>80</v>
      </c>
      <c r="I142">
        <v>5550</v>
      </c>
      <c r="J142">
        <v>74</v>
      </c>
      <c r="K142">
        <v>10</v>
      </c>
    </row>
    <row r="143" spans="3:11" x14ac:dyDescent="0.4">
      <c r="C143">
        <v>1</v>
      </c>
      <c r="D143">
        <v>57</v>
      </c>
      <c r="E143">
        <v>30</v>
      </c>
      <c r="F143">
        <v>5000</v>
      </c>
      <c r="G143">
        <v>44</v>
      </c>
      <c r="H143">
        <v>300</v>
      </c>
      <c r="I143">
        <v>5470</v>
      </c>
      <c r="J143">
        <v>46</v>
      </c>
      <c r="K143">
        <v>7</v>
      </c>
    </row>
    <row r="144" spans="3:11" x14ac:dyDescent="0.4">
      <c r="C144">
        <v>1</v>
      </c>
      <c r="D144">
        <v>58</v>
      </c>
      <c r="E144">
        <v>25</v>
      </c>
      <c r="F144">
        <v>5000</v>
      </c>
      <c r="G144">
        <v>39</v>
      </c>
      <c r="H144">
        <v>200</v>
      </c>
      <c r="I144">
        <v>5320</v>
      </c>
      <c r="J144">
        <v>45</v>
      </c>
      <c r="K144">
        <v>11</v>
      </c>
    </row>
    <row r="145" spans="3:11" x14ac:dyDescent="0.4">
      <c r="C145">
        <v>1</v>
      </c>
      <c r="D145">
        <v>59</v>
      </c>
      <c r="E145">
        <v>40</v>
      </c>
      <c r="F145">
        <v>5000</v>
      </c>
      <c r="G145">
        <v>-12</v>
      </c>
      <c r="H145">
        <v>140</v>
      </c>
      <c r="I145">
        <v>5530</v>
      </c>
      <c r="J145">
        <v>43</v>
      </c>
      <c r="K145">
        <v>3</v>
      </c>
    </row>
    <row r="146" spans="3:11" x14ac:dyDescent="0.4">
      <c r="C146">
        <v>1</v>
      </c>
      <c r="D146">
        <v>60</v>
      </c>
      <c r="E146">
        <v>45</v>
      </c>
      <c r="F146">
        <v>5000</v>
      </c>
      <c r="G146">
        <v>-2</v>
      </c>
      <c r="H146">
        <v>140</v>
      </c>
      <c r="I146">
        <v>5600</v>
      </c>
      <c r="J146">
        <v>21</v>
      </c>
      <c r="K146">
        <v>3</v>
      </c>
    </row>
    <row r="147" spans="3:11" x14ac:dyDescent="0.4">
      <c r="C147">
        <v>1</v>
      </c>
      <c r="D147">
        <v>61</v>
      </c>
      <c r="E147">
        <v>51</v>
      </c>
      <c r="F147">
        <v>5000</v>
      </c>
      <c r="G147">
        <v>30</v>
      </c>
      <c r="H147">
        <v>140</v>
      </c>
      <c r="I147">
        <v>5660</v>
      </c>
      <c r="J147">
        <v>57</v>
      </c>
      <c r="K147">
        <v>7</v>
      </c>
    </row>
    <row r="148" spans="3:11" x14ac:dyDescent="0.4">
      <c r="C148">
        <v>1</v>
      </c>
      <c r="D148">
        <v>62</v>
      </c>
      <c r="E148">
        <v>48</v>
      </c>
      <c r="F148">
        <v>3608</v>
      </c>
      <c r="G148">
        <v>24</v>
      </c>
      <c r="H148">
        <v>100</v>
      </c>
      <c r="I148">
        <v>5580</v>
      </c>
      <c r="J148">
        <v>42</v>
      </c>
      <c r="K148">
        <v>5</v>
      </c>
    </row>
    <row r="149" spans="3:11" x14ac:dyDescent="0.4">
      <c r="C149">
        <v>1</v>
      </c>
      <c r="D149">
        <v>63</v>
      </c>
      <c r="E149">
        <v>45</v>
      </c>
      <c r="F149">
        <v>5000</v>
      </c>
      <c r="G149">
        <v>38</v>
      </c>
      <c r="H149">
        <v>140</v>
      </c>
      <c r="I149">
        <v>5510</v>
      </c>
      <c r="J149">
        <v>50</v>
      </c>
      <c r="K149">
        <v>5</v>
      </c>
    </row>
    <row r="150" spans="3:11" x14ac:dyDescent="0.4">
      <c r="C150">
        <v>1</v>
      </c>
      <c r="D150">
        <v>64</v>
      </c>
      <c r="E150">
        <v>47</v>
      </c>
      <c r="F150">
        <v>5000</v>
      </c>
      <c r="G150">
        <v>56</v>
      </c>
      <c r="H150">
        <v>200</v>
      </c>
      <c r="I150">
        <v>5530</v>
      </c>
      <c r="J150">
        <v>61</v>
      </c>
      <c r="K150">
        <v>5</v>
      </c>
    </row>
    <row r="151" spans="3:11" x14ac:dyDescent="0.4">
      <c r="C151">
        <v>1</v>
      </c>
      <c r="D151">
        <v>65</v>
      </c>
      <c r="E151">
        <v>43</v>
      </c>
      <c r="F151">
        <v>5000</v>
      </c>
      <c r="G151">
        <v>66</v>
      </c>
      <c r="H151">
        <v>120</v>
      </c>
      <c r="I151">
        <v>5620</v>
      </c>
      <c r="J151">
        <v>61</v>
      </c>
      <c r="K151">
        <v>9</v>
      </c>
    </row>
    <row r="152" spans="3:11" x14ac:dyDescent="0.4">
      <c r="C152">
        <v>1</v>
      </c>
      <c r="D152">
        <v>66</v>
      </c>
      <c r="E152">
        <v>49</v>
      </c>
      <c r="F152">
        <v>613</v>
      </c>
      <c r="G152">
        <v>-27</v>
      </c>
      <c r="H152">
        <v>300</v>
      </c>
      <c r="I152">
        <v>5690</v>
      </c>
      <c r="J152">
        <v>60</v>
      </c>
      <c r="K152">
        <v>0</v>
      </c>
    </row>
    <row r="153" spans="3:11" x14ac:dyDescent="0.4">
      <c r="C153">
        <v>1</v>
      </c>
      <c r="D153">
        <v>67</v>
      </c>
      <c r="E153">
        <v>56</v>
      </c>
      <c r="F153">
        <v>334</v>
      </c>
      <c r="G153">
        <v>-9</v>
      </c>
      <c r="H153">
        <v>300</v>
      </c>
      <c r="I153">
        <v>5760</v>
      </c>
      <c r="J153">
        <v>31</v>
      </c>
      <c r="K153">
        <v>4</v>
      </c>
    </row>
    <row r="154" spans="3:11" x14ac:dyDescent="0.4">
      <c r="C154">
        <v>1</v>
      </c>
      <c r="D154">
        <v>68</v>
      </c>
      <c r="E154">
        <v>53</v>
      </c>
      <c r="F154">
        <v>567</v>
      </c>
      <c r="G154">
        <v>13</v>
      </c>
      <c r="H154">
        <v>150</v>
      </c>
      <c r="I154">
        <v>5740</v>
      </c>
      <c r="J154">
        <v>66</v>
      </c>
      <c r="K154">
        <v>3</v>
      </c>
    </row>
    <row r="155" spans="3:11" x14ac:dyDescent="0.4">
      <c r="C155">
        <v>1</v>
      </c>
      <c r="D155">
        <v>69</v>
      </c>
      <c r="E155">
        <v>61</v>
      </c>
      <c r="F155">
        <v>488</v>
      </c>
      <c r="G155">
        <v>-20</v>
      </c>
      <c r="H155">
        <v>2</v>
      </c>
      <c r="I155">
        <v>5780</v>
      </c>
      <c r="J155">
        <v>53</v>
      </c>
      <c r="K155">
        <v>5</v>
      </c>
    </row>
    <row r="156" spans="3:11" x14ac:dyDescent="0.4">
      <c r="C156">
        <v>1</v>
      </c>
      <c r="D156">
        <v>70</v>
      </c>
      <c r="E156">
        <v>63</v>
      </c>
      <c r="F156">
        <v>531</v>
      </c>
      <c r="G156">
        <v>-15</v>
      </c>
      <c r="H156">
        <v>50</v>
      </c>
      <c r="I156">
        <v>5790</v>
      </c>
      <c r="J156">
        <v>42</v>
      </c>
      <c r="K156">
        <v>2</v>
      </c>
    </row>
    <row r="157" spans="3:11" x14ac:dyDescent="0.4">
      <c r="C157">
        <v>1</v>
      </c>
      <c r="D157">
        <v>71</v>
      </c>
      <c r="E157">
        <v>70</v>
      </c>
      <c r="F157">
        <v>508</v>
      </c>
      <c r="G157">
        <v>7</v>
      </c>
      <c r="H157">
        <v>70</v>
      </c>
      <c r="I157">
        <v>5760</v>
      </c>
      <c r="J157">
        <v>60</v>
      </c>
      <c r="K157">
        <v>3</v>
      </c>
    </row>
    <row r="158" spans="3:11" x14ac:dyDescent="0.4">
      <c r="C158">
        <v>1</v>
      </c>
      <c r="D158">
        <v>72</v>
      </c>
      <c r="E158">
        <v>57</v>
      </c>
      <c r="F158">
        <v>1571</v>
      </c>
      <c r="G158">
        <v>68</v>
      </c>
      <c r="H158">
        <v>17</v>
      </c>
      <c r="I158">
        <v>5700</v>
      </c>
      <c r="J158">
        <v>82</v>
      </c>
      <c r="K158">
        <v>4</v>
      </c>
    </row>
    <row r="159" spans="3:11" x14ac:dyDescent="0.4">
      <c r="C159">
        <v>1</v>
      </c>
      <c r="D159">
        <v>73</v>
      </c>
      <c r="E159">
        <v>35</v>
      </c>
      <c r="F159">
        <v>721</v>
      </c>
      <c r="G159">
        <v>28</v>
      </c>
      <c r="H159">
        <v>140</v>
      </c>
      <c r="I159">
        <v>5680</v>
      </c>
      <c r="J159">
        <v>57</v>
      </c>
      <c r="K159">
        <v>4</v>
      </c>
    </row>
    <row r="160" spans="3:11" x14ac:dyDescent="0.4">
      <c r="C160">
        <v>1</v>
      </c>
      <c r="D160">
        <v>74</v>
      </c>
      <c r="E160">
        <v>52</v>
      </c>
      <c r="F160">
        <v>505</v>
      </c>
      <c r="G160">
        <v>-49</v>
      </c>
      <c r="H160">
        <v>140</v>
      </c>
      <c r="I160">
        <v>5720</v>
      </c>
      <c r="J160">
        <v>21</v>
      </c>
      <c r="K160">
        <v>5</v>
      </c>
    </row>
    <row r="161" spans="3:11" x14ac:dyDescent="0.4">
      <c r="C161">
        <v>1</v>
      </c>
      <c r="D161">
        <v>75</v>
      </c>
      <c r="E161">
        <v>59</v>
      </c>
      <c r="F161">
        <v>377</v>
      </c>
      <c r="G161">
        <v>-27</v>
      </c>
      <c r="H161">
        <v>300</v>
      </c>
      <c r="I161">
        <v>5720</v>
      </c>
      <c r="J161">
        <v>19</v>
      </c>
      <c r="K161">
        <v>5</v>
      </c>
    </row>
    <row r="162" spans="3:11" x14ac:dyDescent="0.4">
      <c r="C162">
        <v>1</v>
      </c>
      <c r="D162">
        <v>76</v>
      </c>
      <c r="E162">
        <v>67</v>
      </c>
      <c r="F162">
        <v>442</v>
      </c>
      <c r="G162">
        <v>-9</v>
      </c>
      <c r="H162">
        <v>200</v>
      </c>
      <c r="I162">
        <v>5730</v>
      </c>
      <c r="J162">
        <v>32</v>
      </c>
      <c r="K162">
        <v>4</v>
      </c>
    </row>
    <row r="163" spans="3:11" x14ac:dyDescent="0.4">
      <c r="C163">
        <v>1</v>
      </c>
      <c r="D163">
        <v>77</v>
      </c>
      <c r="E163">
        <v>57</v>
      </c>
      <c r="F163">
        <v>902</v>
      </c>
      <c r="G163">
        <v>54</v>
      </c>
      <c r="H163">
        <v>250</v>
      </c>
      <c r="I163">
        <v>5710</v>
      </c>
      <c r="J163">
        <v>77</v>
      </c>
      <c r="K163">
        <v>5</v>
      </c>
    </row>
    <row r="164" spans="3:11" x14ac:dyDescent="0.4">
      <c r="C164">
        <v>1</v>
      </c>
      <c r="D164">
        <v>78</v>
      </c>
      <c r="E164">
        <v>42</v>
      </c>
      <c r="F164">
        <v>1381</v>
      </c>
      <c r="G164">
        <v>4</v>
      </c>
      <c r="H164">
        <v>60</v>
      </c>
      <c r="I164">
        <v>5720</v>
      </c>
      <c r="J164">
        <v>71</v>
      </c>
      <c r="K164">
        <v>4</v>
      </c>
    </row>
    <row r="165" spans="3:11" x14ac:dyDescent="0.4">
      <c r="C165">
        <v>1</v>
      </c>
      <c r="D165">
        <v>79</v>
      </c>
      <c r="E165">
        <v>55</v>
      </c>
      <c r="F165">
        <v>5000</v>
      </c>
      <c r="G165">
        <v>-16</v>
      </c>
      <c r="H165">
        <v>100</v>
      </c>
      <c r="I165">
        <v>5710</v>
      </c>
      <c r="J165">
        <v>19</v>
      </c>
      <c r="K165">
        <v>3</v>
      </c>
    </row>
    <row r="166" spans="3:11" x14ac:dyDescent="0.4">
      <c r="C166">
        <v>1</v>
      </c>
      <c r="D166">
        <v>80</v>
      </c>
      <c r="E166">
        <v>40</v>
      </c>
      <c r="F166">
        <v>5000</v>
      </c>
      <c r="G166">
        <v>38</v>
      </c>
      <c r="H166">
        <v>150</v>
      </c>
      <c r="I166">
        <v>5600</v>
      </c>
      <c r="J166">
        <v>45</v>
      </c>
      <c r="K166">
        <v>6</v>
      </c>
    </row>
    <row r="170" spans="3:11" x14ac:dyDescent="0.4">
      <c r="C170" t="s">
        <v>14</v>
      </c>
    </row>
    <row r="171" spans="3:11" ht="17.7" x14ac:dyDescent="0.6">
      <c r="C171" s="1" t="s">
        <v>0</v>
      </c>
      <c r="D171" s="1" t="s">
        <v>1</v>
      </c>
      <c r="E171" s="1" t="s">
        <v>2</v>
      </c>
      <c r="F171" s="1" t="s">
        <v>3</v>
      </c>
      <c r="G171" s="1" t="s">
        <v>9</v>
      </c>
      <c r="H171" s="1" t="s">
        <v>5</v>
      </c>
      <c r="I171" s="1" t="s">
        <v>6</v>
      </c>
      <c r="J171" s="1" t="s">
        <v>8</v>
      </c>
    </row>
    <row r="172" spans="3:11" x14ac:dyDescent="0.4">
      <c r="C172">
        <v>1</v>
      </c>
      <c r="D172">
        <v>1</v>
      </c>
      <c r="E172">
        <v>40</v>
      </c>
      <c r="F172">
        <v>2693</v>
      </c>
      <c r="G172">
        <v>250</v>
      </c>
      <c r="H172">
        <v>5710</v>
      </c>
      <c r="I172">
        <v>28</v>
      </c>
      <c r="J172">
        <v>4</v>
      </c>
    </row>
    <row r="173" spans="3:11" x14ac:dyDescent="0.4">
      <c r="C173">
        <v>1</v>
      </c>
      <c r="D173">
        <v>2</v>
      </c>
      <c r="E173">
        <v>45</v>
      </c>
      <c r="F173">
        <v>590</v>
      </c>
      <c r="G173">
        <v>100</v>
      </c>
      <c r="H173">
        <v>5700</v>
      </c>
      <c r="I173">
        <v>37</v>
      </c>
      <c r="J173">
        <v>3</v>
      </c>
    </row>
    <row r="174" spans="3:11" x14ac:dyDescent="0.4">
      <c r="C174">
        <v>1</v>
      </c>
      <c r="D174">
        <v>3</v>
      </c>
      <c r="E174">
        <v>54</v>
      </c>
      <c r="F174">
        <v>1450</v>
      </c>
      <c r="G174">
        <v>60</v>
      </c>
      <c r="H174">
        <v>5760</v>
      </c>
      <c r="I174">
        <v>51</v>
      </c>
      <c r="J174">
        <v>3</v>
      </c>
    </row>
    <row r="175" spans="3:11" x14ac:dyDescent="0.4">
      <c r="C175">
        <v>1</v>
      </c>
      <c r="D175">
        <v>4</v>
      </c>
      <c r="E175">
        <v>35</v>
      </c>
      <c r="F175">
        <v>1568</v>
      </c>
      <c r="G175">
        <v>60</v>
      </c>
      <c r="H175">
        <v>5720</v>
      </c>
      <c r="I175">
        <v>69</v>
      </c>
      <c r="J175">
        <v>4</v>
      </c>
    </row>
    <row r="176" spans="3:11" x14ac:dyDescent="0.4">
      <c r="C176">
        <v>1</v>
      </c>
      <c r="D176">
        <v>5</v>
      </c>
      <c r="E176">
        <v>45</v>
      </c>
      <c r="F176">
        <v>2631</v>
      </c>
      <c r="G176">
        <v>100</v>
      </c>
      <c r="H176">
        <v>5790</v>
      </c>
      <c r="I176">
        <v>19</v>
      </c>
      <c r="J176">
        <v>6</v>
      </c>
    </row>
    <row r="177" spans="3:10" x14ac:dyDescent="0.4">
      <c r="C177">
        <v>1</v>
      </c>
      <c r="D177">
        <v>6</v>
      </c>
      <c r="E177">
        <v>55</v>
      </c>
      <c r="F177">
        <v>554</v>
      </c>
      <c r="G177">
        <v>250</v>
      </c>
      <c r="H177">
        <v>5790</v>
      </c>
      <c r="I177">
        <v>25</v>
      </c>
      <c r="J177">
        <v>3</v>
      </c>
    </row>
    <row r="178" spans="3:10" x14ac:dyDescent="0.4">
      <c r="C178">
        <v>1</v>
      </c>
      <c r="D178">
        <v>7</v>
      </c>
      <c r="E178">
        <v>41</v>
      </c>
      <c r="F178">
        <v>2083</v>
      </c>
      <c r="G178">
        <v>120</v>
      </c>
      <c r="H178">
        <v>5700</v>
      </c>
      <c r="I178">
        <v>73</v>
      </c>
      <c r="J178">
        <v>3</v>
      </c>
    </row>
    <row r="179" spans="3:10" x14ac:dyDescent="0.4">
      <c r="C179">
        <v>1</v>
      </c>
      <c r="D179">
        <v>8</v>
      </c>
      <c r="E179">
        <v>44</v>
      </c>
      <c r="F179">
        <v>2654</v>
      </c>
      <c r="G179">
        <v>120</v>
      </c>
      <c r="H179">
        <v>5700</v>
      </c>
      <c r="I179">
        <v>59</v>
      </c>
      <c r="J179">
        <v>3</v>
      </c>
    </row>
    <row r="180" spans="3:10" x14ac:dyDescent="0.4">
      <c r="C180">
        <v>1</v>
      </c>
      <c r="D180">
        <v>9</v>
      </c>
      <c r="E180">
        <v>54</v>
      </c>
      <c r="F180">
        <v>5000</v>
      </c>
      <c r="G180">
        <v>120</v>
      </c>
      <c r="H180">
        <v>5770</v>
      </c>
      <c r="I180">
        <v>27</v>
      </c>
      <c r="J180">
        <v>8</v>
      </c>
    </row>
    <row r="181" spans="3:10" x14ac:dyDescent="0.4">
      <c r="C181">
        <v>1</v>
      </c>
      <c r="D181">
        <v>10</v>
      </c>
      <c r="E181">
        <v>51</v>
      </c>
      <c r="F181">
        <v>111</v>
      </c>
      <c r="G181">
        <v>150</v>
      </c>
      <c r="H181">
        <v>5720</v>
      </c>
      <c r="I181">
        <v>44</v>
      </c>
      <c r="J181">
        <v>3</v>
      </c>
    </row>
    <row r="182" spans="3:10" x14ac:dyDescent="0.4">
      <c r="C182">
        <v>1</v>
      </c>
      <c r="D182">
        <v>11</v>
      </c>
      <c r="E182">
        <v>51</v>
      </c>
      <c r="F182">
        <v>492</v>
      </c>
      <c r="G182">
        <v>40</v>
      </c>
      <c r="H182">
        <v>5760</v>
      </c>
      <c r="I182">
        <v>33</v>
      </c>
      <c r="J182">
        <v>6</v>
      </c>
    </row>
    <row r="183" spans="3:10" x14ac:dyDescent="0.4">
      <c r="C183">
        <v>1</v>
      </c>
      <c r="D183">
        <v>12</v>
      </c>
      <c r="E183">
        <v>54</v>
      </c>
      <c r="F183">
        <v>5000</v>
      </c>
      <c r="G183">
        <v>200</v>
      </c>
      <c r="H183">
        <v>5780</v>
      </c>
      <c r="I183">
        <v>19</v>
      </c>
      <c r="J183">
        <v>6</v>
      </c>
    </row>
    <row r="184" spans="3:10" x14ac:dyDescent="0.4">
      <c r="C184">
        <v>1</v>
      </c>
      <c r="D184">
        <v>13</v>
      </c>
      <c r="E184">
        <v>58</v>
      </c>
      <c r="F184">
        <v>1249</v>
      </c>
      <c r="G184">
        <v>250</v>
      </c>
      <c r="H184">
        <v>5830</v>
      </c>
      <c r="I184">
        <v>19</v>
      </c>
      <c r="J184">
        <v>3</v>
      </c>
    </row>
    <row r="185" spans="3:10" x14ac:dyDescent="0.4">
      <c r="C185">
        <v>1</v>
      </c>
      <c r="D185">
        <v>14</v>
      </c>
      <c r="E185">
        <v>61</v>
      </c>
      <c r="F185">
        <v>5000</v>
      </c>
      <c r="G185">
        <v>200</v>
      </c>
      <c r="H185">
        <v>5870</v>
      </c>
      <c r="I185">
        <v>19</v>
      </c>
      <c r="J185">
        <v>2</v>
      </c>
    </row>
    <row r="186" spans="3:10" x14ac:dyDescent="0.4">
      <c r="C186">
        <v>1</v>
      </c>
      <c r="D186">
        <v>15</v>
      </c>
      <c r="E186">
        <v>64</v>
      </c>
      <c r="F186">
        <v>5000</v>
      </c>
      <c r="G186">
        <v>200</v>
      </c>
      <c r="H186">
        <v>5840</v>
      </c>
      <c r="I186">
        <v>19</v>
      </c>
      <c r="J186">
        <v>5</v>
      </c>
    </row>
    <row r="187" spans="3:10" x14ac:dyDescent="0.4">
      <c r="C187">
        <v>1</v>
      </c>
      <c r="D187">
        <v>16</v>
      </c>
      <c r="E187">
        <v>67</v>
      </c>
      <c r="F187">
        <v>639</v>
      </c>
      <c r="G187">
        <v>150</v>
      </c>
      <c r="H187">
        <v>5780</v>
      </c>
      <c r="I187">
        <v>59</v>
      </c>
      <c r="J187">
        <v>4</v>
      </c>
    </row>
    <row r="188" spans="3:10" x14ac:dyDescent="0.4">
      <c r="C188">
        <v>1</v>
      </c>
      <c r="D188">
        <v>17</v>
      </c>
      <c r="E188">
        <v>52</v>
      </c>
      <c r="F188">
        <v>393</v>
      </c>
      <c r="G188">
        <v>10</v>
      </c>
      <c r="H188">
        <v>5680</v>
      </c>
      <c r="I188">
        <v>73</v>
      </c>
      <c r="J188">
        <v>5</v>
      </c>
    </row>
    <row r="189" spans="3:10" x14ac:dyDescent="0.4">
      <c r="C189">
        <v>1</v>
      </c>
      <c r="D189">
        <v>18</v>
      </c>
      <c r="E189">
        <v>54</v>
      </c>
      <c r="F189">
        <v>5000</v>
      </c>
      <c r="G189">
        <v>140</v>
      </c>
      <c r="H189">
        <v>5720</v>
      </c>
      <c r="I189">
        <v>19</v>
      </c>
      <c r="J189">
        <v>4</v>
      </c>
    </row>
    <row r="190" spans="3:10" x14ac:dyDescent="0.4">
      <c r="C190">
        <v>1</v>
      </c>
      <c r="D190">
        <v>19</v>
      </c>
      <c r="E190">
        <v>54</v>
      </c>
      <c r="F190">
        <v>5000</v>
      </c>
      <c r="G190">
        <v>250</v>
      </c>
      <c r="H190">
        <v>5760</v>
      </c>
      <c r="I190">
        <v>19</v>
      </c>
      <c r="J190">
        <v>3</v>
      </c>
    </row>
    <row r="191" spans="3:10" x14ac:dyDescent="0.4">
      <c r="C191">
        <v>1</v>
      </c>
      <c r="D191">
        <v>20</v>
      </c>
      <c r="E191">
        <v>58</v>
      </c>
      <c r="F191">
        <v>5000</v>
      </c>
      <c r="G191">
        <v>200</v>
      </c>
      <c r="H191">
        <v>5730</v>
      </c>
      <c r="I191">
        <v>26</v>
      </c>
      <c r="J191">
        <v>4</v>
      </c>
    </row>
    <row r="192" spans="3:10" x14ac:dyDescent="0.4">
      <c r="C192">
        <v>1</v>
      </c>
      <c r="D192">
        <v>21</v>
      </c>
      <c r="E192">
        <v>69</v>
      </c>
      <c r="F192">
        <v>3044</v>
      </c>
      <c r="G192">
        <v>150</v>
      </c>
      <c r="H192">
        <v>5700</v>
      </c>
      <c r="I192">
        <v>59</v>
      </c>
      <c r="J192">
        <v>5</v>
      </c>
    </row>
    <row r="193" spans="3:10" x14ac:dyDescent="0.4">
      <c r="C193">
        <v>1</v>
      </c>
      <c r="D193">
        <v>22</v>
      </c>
      <c r="E193">
        <v>51</v>
      </c>
      <c r="F193">
        <v>3641</v>
      </c>
      <c r="G193">
        <v>140</v>
      </c>
      <c r="H193">
        <v>5650</v>
      </c>
      <c r="I193">
        <v>70</v>
      </c>
      <c r="J193">
        <v>5</v>
      </c>
    </row>
    <row r="194" spans="3:10" x14ac:dyDescent="0.4">
      <c r="C194">
        <v>1</v>
      </c>
      <c r="D194">
        <v>23</v>
      </c>
      <c r="E194">
        <v>53</v>
      </c>
      <c r="F194">
        <v>111</v>
      </c>
      <c r="G194">
        <v>50</v>
      </c>
      <c r="H194">
        <v>5680</v>
      </c>
      <c r="I194">
        <v>64</v>
      </c>
      <c r="J194">
        <v>3</v>
      </c>
    </row>
    <row r="195" spans="3:10" x14ac:dyDescent="0.4">
      <c r="C195">
        <v>1</v>
      </c>
      <c r="D195">
        <v>24</v>
      </c>
      <c r="E195">
        <v>59</v>
      </c>
      <c r="F195">
        <v>597</v>
      </c>
      <c r="G195">
        <v>70</v>
      </c>
      <c r="H195">
        <v>5820</v>
      </c>
      <c r="I195">
        <v>19</v>
      </c>
      <c r="J195">
        <v>5</v>
      </c>
    </row>
    <row r="196" spans="3:10" x14ac:dyDescent="0.4">
      <c r="C196">
        <v>1</v>
      </c>
      <c r="D196">
        <v>25</v>
      </c>
      <c r="E196">
        <v>64</v>
      </c>
      <c r="F196">
        <v>1791</v>
      </c>
      <c r="G196">
        <v>150</v>
      </c>
      <c r="H196">
        <v>5810</v>
      </c>
      <c r="I196">
        <v>19</v>
      </c>
      <c r="J196">
        <v>5</v>
      </c>
    </row>
    <row r="197" spans="3:10" x14ac:dyDescent="0.4">
      <c r="C197">
        <v>1</v>
      </c>
      <c r="D197">
        <v>26</v>
      </c>
      <c r="E197">
        <v>63</v>
      </c>
      <c r="F197">
        <v>793</v>
      </c>
      <c r="G197">
        <v>120</v>
      </c>
      <c r="H197">
        <v>5790</v>
      </c>
      <c r="I197">
        <v>28</v>
      </c>
      <c r="J197">
        <v>3</v>
      </c>
    </row>
    <row r="198" spans="3:10" x14ac:dyDescent="0.4">
      <c r="C198">
        <v>1</v>
      </c>
      <c r="D198">
        <v>27</v>
      </c>
      <c r="E198">
        <v>63</v>
      </c>
      <c r="F198">
        <v>531</v>
      </c>
      <c r="G198">
        <v>40</v>
      </c>
      <c r="H198">
        <v>5800</v>
      </c>
      <c r="I198">
        <v>32</v>
      </c>
      <c r="J198">
        <v>2</v>
      </c>
    </row>
    <row r="199" spans="3:10" x14ac:dyDescent="0.4">
      <c r="C199">
        <v>1</v>
      </c>
      <c r="D199">
        <v>28</v>
      </c>
      <c r="E199">
        <v>62</v>
      </c>
      <c r="F199">
        <v>419</v>
      </c>
      <c r="G199">
        <v>120</v>
      </c>
      <c r="H199">
        <v>5820</v>
      </c>
      <c r="I199">
        <v>19</v>
      </c>
      <c r="J199">
        <v>5</v>
      </c>
    </row>
    <row r="200" spans="3:10" x14ac:dyDescent="0.4">
      <c r="C200">
        <v>1</v>
      </c>
      <c r="D200">
        <v>29</v>
      </c>
      <c r="E200">
        <v>63</v>
      </c>
      <c r="F200">
        <v>816</v>
      </c>
      <c r="G200">
        <v>6</v>
      </c>
      <c r="H200">
        <v>5770</v>
      </c>
      <c r="I200">
        <v>76</v>
      </c>
      <c r="J200">
        <v>8</v>
      </c>
    </row>
    <row r="201" spans="3:10" x14ac:dyDescent="0.4">
      <c r="C201">
        <v>1</v>
      </c>
      <c r="D201">
        <v>30</v>
      </c>
      <c r="E201">
        <v>54</v>
      </c>
      <c r="F201">
        <v>3651</v>
      </c>
      <c r="G201">
        <v>30</v>
      </c>
      <c r="H201">
        <v>5670</v>
      </c>
      <c r="I201">
        <v>69</v>
      </c>
      <c r="J201">
        <v>3</v>
      </c>
    </row>
    <row r="202" spans="3:10" x14ac:dyDescent="0.4">
      <c r="C202">
        <v>1</v>
      </c>
      <c r="D202">
        <v>31</v>
      </c>
      <c r="E202">
        <v>36</v>
      </c>
      <c r="F202">
        <v>5000</v>
      </c>
      <c r="G202">
        <v>100</v>
      </c>
      <c r="H202">
        <v>5590</v>
      </c>
      <c r="I202">
        <v>76</v>
      </c>
      <c r="J202">
        <v>3</v>
      </c>
    </row>
    <row r="203" spans="3:10" x14ac:dyDescent="0.4">
      <c r="C203">
        <v>1</v>
      </c>
      <c r="D203">
        <v>32</v>
      </c>
      <c r="E203">
        <v>31</v>
      </c>
      <c r="F203">
        <v>5000</v>
      </c>
      <c r="G203">
        <v>200</v>
      </c>
      <c r="H203">
        <v>5410</v>
      </c>
      <c r="I203">
        <v>64</v>
      </c>
      <c r="J203">
        <v>6</v>
      </c>
    </row>
    <row r="204" spans="3:10" x14ac:dyDescent="0.4">
      <c r="C204">
        <v>1</v>
      </c>
      <c r="D204">
        <v>33</v>
      </c>
      <c r="E204">
        <v>30</v>
      </c>
      <c r="F204">
        <v>1341</v>
      </c>
      <c r="G204">
        <v>60</v>
      </c>
      <c r="H204">
        <v>5350</v>
      </c>
      <c r="I204">
        <v>62</v>
      </c>
      <c r="J204">
        <v>7</v>
      </c>
    </row>
    <row r="205" spans="3:10" x14ac:dyDescent="0.4">
      <c r="C205">
        <v>1</v>
      </c>
      <c r="D205">
        <v>34</v>
      </c>
      <c r="E205">
        <v>36</v>
      </c>
      <c r="F205">
        <v>5000</v>
      </c>
      <c r="G205">
        <v>350</v>
      </c>
      <c r="H205">
        <v>5480</v>
      </c>
      <c r="I205">
        <v>72</v>
      </c>
      <c r="J205">
        <v>9</v>
      </c>
    </row>
    <row r="206" spans="3:10" x14ac:dyDescent="0.4">
      <c r="C206">
        <v>1</v>
      </c>
      <c r="D206">
        <v>35</v>
      </c>
      <c r="E206">
        <v>42</v>
      </c>
      <c r="F206">
        <v>3799</v>
      </c>
      <c r="G206">
        <v>250</v>
      </c>
      <c r="H206">
        <v>5600</v>
      </c>
      <c r="I206">
        <v>76</v>
      </c>
      <c r="J206">
        <v>7</v>
      </c>
    </row>
    <row r="207" spans="3:10" x14ac:dyDescent="0.4">
      <c r="C207">
        <v>1</v>
      </c>
      <c r="D207">
        <v>36</v>
      </c>
      <c r="E207">
        <v>37</v>
      </c>
      <c r="F207">
        <v>5000</v>
      </c>
      <c r="G207">
        <v>350</v>
      </c>
      <c r="H207">
        <v>5490</v>
      </c>
      <c r="I207">
        <v>72</v>
      </c>
      <c r="J207">
        <v>11</v>
      </c>
    </row>
    <row r="208" spans="3:10" x14ac:dyDescent="0.4">
      <c r="C208">
        <v>1</v>
      </c>
      <c r="D208">
        <v>37</v>
      </c>
      <c r="E208">
        <v>41</v>
      </c>
      <c r="F208">
        <v>5000</v>
      </c>
      <c r="G208">
        <v>300</v>
      </c>
      <c r="H208">
        <v>5560</v>
      </c>
      <c r="I208">
        <v>72</v>
      </c>
      <c r="J208">
        <v>10</v>
      </c>
    </row>
    <row r="209" spans="3:10" x14ac:dyDescent="0.4">
      <c r="C209">
        <v>1</v>
      </c>
      <c r="D209">
        <v>38</v>
      </c>
      <c r="E209">
        <v>46</v>
      </c>
      <c r="F209">
        <v>5000</v>
      </c>
      <c r="G209">
        <v>300</v>
      </c>
      <c r="H209">
        <v>5700</v>
      </c>
      <c r="I209">
        <v>32</v>
      </c>
      <c r="J209">
        <v>3</v>
      </c>
    </row>
    <row r="210" spans="3:10" x14ac:dyDescent="0.4">
      <c r="C210">
        <v>1</v>
      </c>
      <c r="D210">
        <v>39</v>
      </c>
      <c r="E210">
        <v>51</v>
      </c>
      <c r="F210">
        <v>5000</v>
      </c>
      <c r="G210">
        <v>300</v>
      </c>
      <c r="H210">
        <v>5680</v>
      </c>
      <c r="I210">
        <v>50</v>
      </c>
      <c r="J210">
        <v>5</v>
      </c>
    </row>
    <row r="211" spans="3:10" x14ac:dyDescent="0.4">
      <c r="C211">
        <v>1</v>
      </c>
      <c r="D211">
        <v>40</v>
      </c>
      <c r="E211">
        <v>55</v>
      </c>
      <c r="F211">
        <v>2398</v>
      </c>
      <c r="G211">
        <v>200</v>
      </c>
      <c r="H211">
        <v>5700</v>
      </c>
      <c r="I211">
        <v>86</v>
      </c>
      <c r="J211">
        <v>4</v>
      </c>
    </row>
    <row r="212" spans="3:10" x14ac:dyDescent="0.4">
      <c r="C212">
        <v>1</v>
      </c>
      <c r="D212">
        <v>41</v>
      </c>
      <c r="E212">
        <v>41</v>
      </c>
      <c r="F212">
        <v>5000</v>
      </c>
      <c r="G212">
        <v>100</v>
      </c>
      <c r="H212">
        <v>5650</v>
      </c>
      <c r="I212">
        <v>61</v>
      </c>
      <c r="J212">
        <v>5</v>
      </c>
    </row>
    <row r="213" spans="3:10" x14ac:dyDescent="0.4">
      <c r="C213">
        <v>1</v>
      </c>
      <c r="D213">
        <v>42</v>
      </c>
      <c r="E213">
        <v>41</v>
      </c>
      <c r="F213">
        <v>4281</v>
      </c>
      <c r="G213">
        <v>250</v>
      </c>
      <c r="H213">
        <v>5610</v>
      </c>
      <c r="I213">
        <v>62</v>
      </c>
      <c r="J213">
        <v>5</v>
      </c>
    </row>
    <row r="214" spans="3:10" x14ac:dyDescent="0.4">
      <c r="C214">
        <v>1</v>
      </c>
      <c r="D214">
        <v>43</v>
      </c>
      <c r="E214">
        <v>49</v>
      </c>
      <c r="F214">
        <v>1161</v>
      </c>
      <c r="G214">
        <v>200</v>
      </c>
      <c r="H214">
        <v>5730</v>
      </c>
      <c r="I214">
        <v>66</v>
      </c>
      <c r="J214">
        <v>5</v>
      </c>
    </row>
    <row r="215" spans="3:10" x14ac:dyDescent="0.4">
      <c r="C215">
        <v>1</v>
      </c>
      <c r="D215">
        <v>44</v>
      </c>
      <c r="E215">
        <v>45</v>
      </c>
      <c r="F215">
        <v>2778</v>
      </c>
      <c r="G215">
        <v>200</v>
      </c>
      <c r="H215">
        <v>5770</v>
      </c>
      <c r="I215">
        <v>68</v>
      </c>
      <c r="J215">
        <v>5</v>
      </c>
    </row>
    <row r="216" spans="3:10" x14ac:dyDescent="0.4">
      <c r="C216">
        <v>1</v>
      </c>
      <c r="D216">
        <v>45</v>
      </c>
      <c r="E216">
        <v>55</v>
      </c>
      <c r="F216">
        <v>442</v>
      </c>
      <c r="G216">
        <v>40</v>
      </c>
      <c r="H216">
        <v>5770</v>
      </c>
      <c r="I216">
        <v>82</v>
      </c>
      <c r="J216">
        <v>3</v>
      </c>
    </row>
    <row r="217" spans="3:10" x14ac:dyDescent="0.4">
      <c r="C217">
        <v>1</v>
      </c>
      <c r="D217">
        <v>46</v>
      </c>
      <c r="E217">
        <v>41</v>
      </c>
      <c r="F217">
        <v>5000</v>
      </c>
      <c r="G217">
        <v>300</v>
      </c>
      <c r="H217">
        <v>5690</v>
      </c>
      <c r="I217">
        <v>21</v>
      </c>
      <c r="J217">
        <v>8</v>
      </c>
    </row>
    <row r="218" spans="3:10" x14ac:dyDescent="0.4">
      <c r="C218">
        <v>1</v>
      </c>
      <c r="D218">
        <v>47</v>
      </c>
      <c r="E218">
        <v>45</v>
      </c>
      <c r="F218">
        <v>5000</v>
      </c>
      <c r="G218">
        <v>300</v>
      </c>
      <c r="H218">
        <v>5700</v>
      </c>
      <c r="I218">
        <v>19</v>
      </c>
      <c r="J218">
        <v>3</v>
      </c>
    </row>
    <row r="219" spans="3:10" x14ac:dyDescent="0.4">
      <c r="C219">
        <v>1</v>
      </c>
      <c r="D219">
        <v>48</v>
      </c>
      <c r="E219">
        <v>51</v>
      </c>
      <c r="F219">
        <v>5000</v>
      </c>
      <c r="G219">
        <v>300</v>
      </c>
      <c r="H219">
        <v>5730</v>
      </c>
      <c r="I219">
        <v>19</v>
      </c>
      <c r="J219">
        <v>11</v>
      </c>
    </row>
    <row r="220" spans="3:10" x14ac:dyDescent="0.4">
      <c r="C220">
        <v>1</v>
      </c>
      <c r="D220">
        <v>49</v>
      </c>
      <c r="E220">
        <v>53</v>
      </c>
      <c r="F220">
        <v>5000</v>
      </c>
      <c r="G220">
        <v>300</v>
      </c>
      <c r="H220">
        <v>5690</v>
      </c>
      <c r="I220">
        <v>19</v>
      </c>
      <c r="J220">
        <v>7</v>
      </c>
    </row>
    <row r="221" spans="3:10" x14ac:dyDescent="0.4">
      <c r="C221">
        <v>1</v>
      </c>
      <c r="D221">
        <v>50</v>
      </c>
      <c r="E221">
        <v>50</v>
      </c>
      <c r="F221">
        <v>5000</v>
      </c>
      <c r="G221">
        <v>300</v>
      </c>
      <c r="H221">
        <v>5640</v>
      </c>
      <c r="I221">
        <v>68</v>
      </c>
      <c r="J221">
        <v>5</v>
      </c>
    </row>
    <row r="222" spans="3:10" x14ac:dyDescent="0.4">
      <c r="C222">
        <v>1</v>
      </c>
      <c r="D222">
        <v>51</v>
      </c>
      <c r="E222">
        <v>60</v>
      </c>
      <c r="F222">
        <v>1341</v>
      </c>
      <c r="G222">
        <v>150</v>
      </c>
      <c r="H222">
        <v>5720</v>
      </c>
      <c r="I222">
        <v>63</v>
      </c>
      <c r="J222">
        <v>6</v>
      </c>
    </row>
    <row r="223" spans="3:10" x14ac:dyDescent="0.4">
      <c r="C223">
        <v>1</v>
      </c>
      <c r="D223">
        <v>52</v>
      </c>
      <c r="E223">
        <v>54</v>
      </c>
      <c r="F223">
        <v>1318</v>
      </c>
      <c r="G223">
        <v>150</v>
      </c>
      <c r="H223">
        <v>5740</v>
      </c>
      <c r="I223">
        <v>54</v>
      </c>
      <c r="J223">
        <v>3</v>
      </c>
    </row>
    <row r="224" spans="3:10" x14ac:dyDescent="0.4">
      <c r="C224">
        <v>1</v>
      </c>
      <c r="D224">
        <v>53</v>
      </c>
      <c r="E224">
        <v>53</v>
      </c>
      <c r="F224">
        <v>885</v>
      </c>
      <c r="G224">
        <v>80</v>
      </c>
      <c r="H224">
        <v>5740</v>
      </c>
      <c r="I224">
        <v>47</v>
      </c>
      <c r="J224">
        <v>3</v>
      </c>
    </row>
    <row r="225" spans="3:10" x14ac:dyDescent="0.4">
      <c r="C225">
        <v>1</v>
      </c>
      <c r="D225">
        <v>54</v>
      </c>
      <c r="E225">
        <v>53</v>
      </c>
      <c r="F225">
        <v>360</v>
      </c>
      <c r="G225">
        <v>40</v>
      </c>
      <c r="H225">
        <v>5740</v>
      </c>
      <c r="I225">
        <v>56</v>
      </c>
      <c r="J225">
        <v>3</v>
      </c>
    </row>
    <row r="226" spans="3:10" x14ac:dyDescent="0.4">
      <c r="C226">
        <v>1</v>
      </c>
      <c r="D226">
        <v>55</v>
      </c>
      <c r="E226">
        <v>44</v>
      </c>
      <c r="F226">
        <v>3497</v>
      </c>
      <c r="G226">
        <v>40</v>
      </c>
      <c r="H226">
        <v>5670</v>
      </c>
      <c r="I226">
        <v>61</v>
      </c>
      <c r="J226">
        <v>7</v>
      </c>
    </row>
    <row r="227" spans="3:10" x14ac:dyDescent="0.4">
      <c r="C227">
        <v>1</v>
      </c>
      <c r="D227">
        <v>56</v>
      </c>
      <c r="E227">
        <v>40</v>
      </c>
      <c r="F227">
        <v>5000</v>
      </c>
      <c r="G227">
        <v>80</v>
      </c>
      <c r="H227">
        <v>5550</v>
      </c>
      <c r="I227">
        <v>74</v>
      </c>
      <c r="J227">
        <v>10</v>
      </c>
    </row>
    <row r="228" spans="3:10" x14ac:dyDescent="0.4">
      <c r="C228">
        <v>1</v>
      </c>
      <c r="D228">
        <v>57</v>
      </c>
      <c r="E228">
        <v>30</v>
      </c>
      <c r="F228">
        <v>5000</v>
      </c>
      <c r="G228">
        <v>300</v>
      </c>
      <c r="H228">
        <v>5470</v>
      </c>
      <c r="I228">
        <v>46</v>
      </c>
      <c r="J228">
        <v>7</v>
      </c>
    </row>
    <row r="229" spans="3:10" x14ac:dyDescent="0.4">
      <c r="C229">
        <v>1</v>
      </c>
      <c r="D229">
        <v>58</v>
      </c>
      <c r="E229">
        <v>25</v>
      </c>
      <c r="F229">
        <v>5000</v>
      </c>
      <c r="G229">
        <v>200</v>
      </c>
      <c r="H229">
        <v>5320</v>
      </c>
      <c r="I229">
        <v>45</v>
      </c>
      <c r="J229">
        <v>11</v>
      </c>
    </row>
    <row r="230" spans="3:10" x14ac:dyDescent="0.4">
      <c r="C230">
        <v>1</v>
      </c>
      <c r="D230">
        <v>59</v>
      </c>
      <c r="E230">
        <v>40</v>
      </c>
      <c r="F230">
        <v>5000</v>
      </c>
      <c r="G230">
        <v>140</v>
      </c>
      <c r="H230">
        <v>5530</v>
      </c>
      <c r="I230">
        <v>43</v>
      </c>
      <c r="J230">
        <v>3</v>
      </c>
    </row>
    <row r="231" spans="3:10" x14ac:dyDescent="0.4">
      <c r="C231">
        <v>1</v>
      </c>
      <c r="D231">
        <v>60</v>
      </c>
      <c r="E231">
        <v>45</v>
      </c>
      <c r="F231">
        <v>5000</v>
      </c>
      <c r="G231">
        <v>140</v>
      </c>
      <c r="H231">
        <v>5600</v>
      </c>
      <c r="I231">
        <v>21</v>
      </c>
      <c r="J231">
        <v>3</v>
      </c>
    </row>
    <row r="232" spans="3:10" x14ac:dyDescent="0.4">
      <c r="C232">
        <v>1</v>
      </c>
      <c r="D232">
        <v>61</v>
      </c>
      <c r="E232">
        <v>51</v>
      </c>
      <c r="F232">
        <v>5000</v>
      </c>
      <c r="G232">
        <v>140</v>
      </c>
      <c r="H232">
        <v>5660</v>
      </c>
      <c r="I232">
        <v>57</v>
      </c>
      <c r="J232">
        <v>7</v>
      </c>
    </row>
    <row r="233" spans="3:10" x14ac:dyDescent="0.4">
      <c r="C233">
        <v>1</v>
      </c>
      <c r="D233">
        <v>62</v>
      </c>
      <c r="E233">
        <v>48</v>
      </c>
      <c r="F233">
        <v>3608</v>
      </c>
      <c r="G233">
        <v>100</v>
      </c>
      <c r="H233">
        <v>5580</v>
      </c>
      <c r="I233">
        <v>42</v>
      </c>
      <c r="J233">
        <v>5</v>
      </c>
    </row>
    <row r="234" spans="3:10" x14ac:dyDescent="0.4">
      <c r="C234">
        <v>1</v>
      </c>
      <c r="D234">
        <v>63</v>
      </c>
      <c r="E234">
        <v>45</v>
      </c>
      <c r="F234">
        <v>5000</v>
      </c>
      <c r="G234">
        <v>140</v>
      </c>
      <c r="H234">
        <v>5510</v>
      </c>
      <c r="I234">
        <v>50</v>
      </c>
      <c r="J234">
        <v>5</v>
      </c>
    </row>
    <row r="235" spans="3:10" x14ac:dyDescent="0.4">
      <c r="C235">
        <v>1</v>
      </c>
      <c r="D235">
        <v>64</v>
      </c>
      <c r="E235">
        <v>47</v>
      </c>
      <c r="F235">
        <v>5000</v>
      </c>
      <c r="G235">
        <v>200</v>
      </c>
      <c r="H235">
        <v>5530</v>
      </c>
      <c r="I235">
        <v>61</v>
      </c>
      <c r="J235">
        <v>5</v>
      </c>
    </row>
    <row r="236" spans="3:10" x14ac:dyDescent="0.4">
      <c r="C236">
        <v>1</v>
      </c>
      <c r="D236">
        <v>65</v>
      </c>
      <c r="E236">
        <v>43</v>
      </c>
      <c r="F236">
        <v>5000</v>
      </c>
      <c r="G236">
        <v>120</v>
      </c>
      <c r="H236">
        <v>5620</v>
      </c>
      <c r="I236">
        <v>61</v>
      </c>
      <c r="J236">
        <v>9</v>
      </c>
    </row>
    <row r="237" spans="3:10" x14ac:dyDescent="0.4">
      <c r="C237">
        <v>1</v>
      </c>
      <c r="D237">
        <v>66</v>
      </c>
      <c r="E237">
        <v>49</v>
      </c>
      <c r="F237">
        <v>613</v>
      </c>
      <c r="G237">
        <v>300</v>
      </c>
      <c r="H237">
        <v>5690</v>
      </c>
      <c r="I237">
        <v>60</v>
      </c>
      <c r="J237">
        <v>0</v>
      </c>
    </row>
    <row r="238" spans="3:10" x14ac:dyDescent="0.4">
      <c r="C238">
        <v>1</v>
      </c>
      <c r="D238">
        <v>67</v>
      </c>
      <c r="E238">
        <v>56</v>
      </c>
      <c r="F238">
        <v>334</v>
      </c>
      <c r="G238">
        <v>300</v>
      </c>
      <c r="H238">
        <v>5760</v>
      </c>
      <c r="I238">
        <v>31</v>
      </c>
      <c r="J238">
        <v>4</v>
      </c>
    </row>
    <row r="239" spans="3:10" x14ac:dyDescent="0.4">
      <c r="C239">
        <v>1</v>
      </c>
      <c r="D239">
        <v>68</v>
      </c>
      <c r="E239">
        <v>53</v>
      </c>
      <c r="F239">
        <v>567</v>
      </c>
      <c r="G239">
        <v>150</v>
      </c>
      <c r="H239">
        <v>5740</v>
      </c>
      <c r="I239">
        <v>66</v>
      </c>
      <c r="J239">
        <v>3</v>
      </c>
    </row>
    <row r="240" spans="3:10" x14ac:dyDescent="0.4">
      <c r="C240">
        <v>1</v>
      </c>
      <c r="D240">
        <v>69</v>
      </c>
      <c r="E240">
        <v>61</v>
      </c>
      <c r="F240">
        <v>488</v>
      </c>
      <c r="G240">
        <v>2</v>
      </c>
      <c r="H240">
        <v>5780</v>
      </c>
      <c r="I240">
        <v>53</v>
      </c>
      <c r="J240">
        <v>5</v>
      </c>
    </row>
    <row r="241" spans="3:10" x14ac:dyDescent="0.4">
      <c r="C241">
        <v>1</v>
      </c>
      <c r="D241">
        <v>70</v>
      </c>
      <c r="E241">
        <v>63</v>
      </c>
      <c r="F241">
        <v>531</v>
      </c>
      <c r="G241">
        <v>50</v>
      </c>
      <c r="H241">
        <v>5790</v>
      </c>
      <c r="I241">
        <v>42</v>
      </c>
      <c r="J241">
        <v>2</v>
      </c>
    </row>
    <row r="242" spans="3:10" x14ac:dyDescent="0.4">
      <c r="C242">
        <v>1</v>
      </c>
      <c r="D242">
        <v>71</v>
      </c>
      <c r="E242">
        <v>70</v>
      </c>
      <c r="F242">
        <v>508</v>
      </c>
      <c r="G242">
        <v>70</v>
      </c>
      <c r="H242">
        <v>5760</v>
      </c>
      <c r="I242">
        <v>60</v>
      </c>
      <c r="J242">
        <v>3</v>
      </c>
    </row>
    <row r="243" spans="3:10" x14ac:dyDescent="0.4">
      <c r="C243">
        <v>1</v>
      </c>
      <c r="D243">
        <v>72</v>
      </c>
      <c r="E243">
        <v>57</v>
      </c>
      <c r="F243">
        <v>1571</v>
      </c>
      <c r="G243">
        <v>17</v>
      </c>
      <c r="H243">
        <v>5700</v>
      </c>
      <c r="I243">
        <v>82</v>
      </c>
      <c r="J243">
        <v>4</v>
      </c>
    </row>
    <row r="244" spans="3:10" x14ac:dyDescent="0.4">
      <c r="C244">
        <v>1</v>
      </c>
      <c r="D244">
        <v>73</v>
      </c>
      <c r="E244">
        <v>35</v>
      </c>
      <c r="F244">
        <v>721</v>
      </c>
      <c r="G244">
        <v>140</v>
      </c>
      <c r="H244">
        <v>5680</v>
      </c>
      <c r="I244">
        <v>57</v>
      </c>
      <c r="J244">
        <v>4</v>
      </c>
    </row>
    <row r="245" spans="3:10" x14ac:dyDescent="0.4">
      <c r="C245">
        <v>1</v>
      </c>
      <c r="D245">
        <v>74</v>
      </c>
      <c r="E245">
        <v>52</v>
      </c>
      <c r="F245">
        <v>505</v>
      </c>
      <c r="G245">
        <v>140</v>
      </c>
      <c r="H245">
        <v>5720</v>
      </c>
      <c r="I245">
        <v>21</v>
      </c>
      <c r="J245">
        <v>5</v>
      </c>
    </row>
    <row r="246" spans="3:10" x14ac:dyDescent="0.4">
      <c r="C246">
        <v>1</v>
      </c>
      <c r="D246">
        <v>75</v>
      </c>
      <c r="E246">
        <v>59</v>
      </c>
      <c r="F246">
        <v>377</v>
      </c>
      <c r="G246">
        <v>300</v>
      </c>
      <c r="H246">
        <v>5720</v>
      </c>
      <c r="I246">
        <v>19</v>
      </c>
      <c r="J246">
        <v>5</v>
      </c>
    </row>
    <row r="247" spans="3:10" x14ac:dyDescent="0.4">
      <c r="C247">
        <v>1</v>
      </c>
      <c r="D247">
        <v>76</v>
      </c>
      <c r="E247">
        <v>67</v>
      </c>
      <c r="F247">
        <v>442</v>
      </c>
      <c r="G247">
        <v>200</v>
      </c>
      <c r="H247">
        <v>5730</v>
      </c>
      <c r="I247">
        <v>32</v>
      </c>
      <c r="J247">
        <v>4</v>
      </c>
    </row>
    <row r="248" spans="3:10" x14ac:dyDescent="0.4">
      <c r="C248">
        <v>1</v>
      </c>
      <c r="D248">
        <v>77</v>
      </c>
      <c r="E248">
        <v>57</v>
      </c>
      <c r="F248">
        <v>902</v>
      </c>
      <c r="G248">
        <v>250</v>
      </c>
      <c r="H248">
        <v>5710</v>
      </c>
      <c r="I248">
        <v>77</v>
      </c>
      <c r="J248">
        <v>5</v>
      </c>
    </row>
    <row r="249" spans="3:10" x14ac:dyDescent="0.4">
      <c r="C249">
        <v>1</v>
      </c>
      <c r="D249">
        <v>78</v>
      </c>
      <c r="E249">
        <v>42</v>
      </c>
      <c r="F249">
        <v>1381</v>
      </c>
      <c r="G249">
        <v>60</v>
      </c>
      <c r="H249">
        <v>5720</v>
      </c>
      <c r="I249">
        <v>71</v>
      </c>
      <c r="J249">
        <v>4</v>
      </c>
    </row>
    <row r="250" spans="3:10" x14ac:dyDescent="0.4">
      <c r="C250">
        <v>1</v>
      </c>
      <c r="D250">
        <v>79</v>
      </c>
      <c r="E250">
        <v>55</v>
      </c>
      <c r="F250">
        <v>5000</v>
      </c>
      <c r="G250">
        <v>100</v>
      </c>
      <c r="H250">
        <v>5710</v>
      </c>
      <c r="I250">
        <v>19</v>
      </c>
      <c r="J250">
        <v>3</v>
      </c>
    </row>
    <row r="251" spans="3:10" x14ac:dyDescent="0.4">
      <c r="C251">
        <v>1</v>
      </c>
      <c r="D251">
        <v>80</v>
      </c>
      <c r="E251">
        <v>40</v>
      </c>
      <c r="F251">
        <v>5000</v>
      </c>
      <c r="G251">
        <v>150</v>
      </c>
      <c r="H251">
        <v>5600</v>
      </c>
      <c r="I251">
        <v>45</v>
      </c>
      <c r="J251">
        <v>6</v>
      </c>
    </row>
    <row r="256" spans="3:10" x14ac:dyDescent="0.4">
      <c r="C256" t="s">
        <v>15</v>
      </c>
    </row>
    <row r="257" spans="3:10" ht="17.7" x14ac:dyDescent="0.6">
      <c r="C257" s="1" t="s">
        <v>0</v>
      </c>
      <c r="D257" s="1" t="s">
        <v>1</v>
      </c>
      <c r="E257" s="1" t="s">
        <v>3</v>
      </c>
      <c r="F257" s="1" t="s">
        <v>9</v>
      </c>
      <c r="G257" s="1" t="s">
        <v>5</v>
      </c>
      <c r="H257" s="1" t="s">
        <v>6</v>
      </c>
      <c r="I257" s="1" t="s">
        <v>8</v>
      </c>
      <c r="J257" s="1"/>
    </row>
    <row r="258" spans="3:10" x14ac:dyDescent="0.4">
      <c r="C258">
        <v>1</v>
      </c>
      <c r="D258">
        <v>1</v>
      </c>
      <c r="E258">
        <v>2693</v>
      </c>
      <c r="F258">
        <v>250</v>
      </c>
      <c r="G258">
        <v>5710</v>
      </c>
      <c r="H258">
        <v>28</v>
      </c>
      <c r="I258">
        <v>4</v>
      </c>
    </row>
    <row r="259" spans="3:10" x14ac:dyDescent="0.4">
      <c r="C259">
        <v>1</v>
      </c>
      <c r="D259">
        <v>2</v>
      </c>
      <c r="E259">
        <v>590</v>
      </c>
      <c r="F259">
        <v>100</v>
      </c>
      <c r="G259">
        <v>5700</v>
      </c>
      <c r="H259">
        <v>37</v>
      </c>
      <c r="I259">
        <v>3</v>
      </c>
    </row>
    <row r="260" spans="3:10" x14ac:dyDescent="0.4">
      <c r="C260">
        <v>1</v>
      </c>
      <c r="D260">
        <v>3</v>
      </c>
      <c r="E260">
        <v>1450</v>
      </c>
      <c r="F260">
        <v>60</v>
      </c>
      <c r="G260">
        <v>5760</v>
      </c>
      <c r="H260">
        <v>51</v>
      </c>
      <c r="I260">
        <v>3</v>
      </c>
    </row>
    <row r="261" spans="3:10" x14ac:dyDescent="0.4">
      <c r="C261">
        <v>1</v>
      </c>
      <c r="D261">
        <v>4</v>
      </c>
      <c r="E261">
        <v>1568</v>
      </c>
      <c r="F261">
        <v>60</v>
      </c>
      <c r="G261">
        <v>5720</v>
      </c>
      <c r="H261">
        <v>69</v>
      </c>
      <c r="I261">
        <v>4</v>
      </c>
    </row>
    <row r="262" spans="3:10" x14ac:dyDescent="0.4">
      <c r="C262">
        <v>1</v>
      </c>
      <c r="D262">
        <v>5</v>
      </c>
      <c r="E262">
        <v>2631</v>
      </c>
      <c r="F262">
        <v>100</v>
      </c>
      <c r="G262">
        <v>5790</v>
      </c>
      <c r="H262">
        <v>19</v>
      </c>
      <c r="I262">
        <v>6</v>
      </c>
    </row>
    <row r="263" spans="3:10" x14ac:dyDescent="0.4">
      <c r="C263">
        <v>1</v>
      </c>
      <c r="D263">
        <v>6</v>
      </c>
      <c r="E263">
        <v>554</v>
      </c>
      <c r="F263">
        <v>250</v>
      </c>
      <c r="G263">
        <v>5790</v>
      </c>
      <c r="H263">
        <v>25</v>
      </c>
      <c r="I263">
        <v>3</v>
      </c>
    </row>
    <row r="264" spans="3:10" x14ac:dyDescent="0.4">
      <c r="C264">
        <v>1</v>
      </c>
      <c r="D264">
        <v>7</v>
      </c>
      <c r="E264">
        <v>2083</v>
      </c>
      <c r="F264">
        <v>120</v>
      </c>
      <c r="G264">
        <v>5700</v>
      </c>
      <c r="H264">
        <v>73</v>
      </c>
      <c r="I264">
        <v>3</v>
      </c>
    </row>
    <row r="265" spans="3:10" x14ac:dyDescent="0.4">
      <c r="C265">
        <v>1</v>
      </c>
      <c r="D265">
        <v>8</v>
      </c>
      <c r="E265">
        <v>2654</v>
      </c>
      <c r="F265">
        <v>120</v>
      </c>
      <c r="G265">
        <v>5700</v>
      </c>
      <c r="H265">
        <v>59</v>
      </c>
      <c r="I265">
        <v>3</v>
      </c>
    </row>
    <row r="266" spans="3:10" x14ac:dyDescent="0.4">
      <c r="C266">
        <v>1</v>
      </c>
      <c r="D266">
        <v>9</v>
      </c>
      <c r="E266">
        <v>5000</v>
      </c>
      <c r="F266">
        <v>120</v>
      </c>
      <c r="G266">
        <v>5770</v>
      </c>
      <c r="H266">
        <v>27</v>
      </c>
      <c r="I266">
        <v>8</v>
      </c>
    </row>
    <row r="267" spans="3:10" x14ac:dyDescent="0.4">
      <c r="C267">
        <v>1</v>
      </c>
      <c r="D267">
        <v>10</v>
      </c>
      <c r="E267">
        <v>111</v>
      </c>
      <c r="F267">
        <v>150</v>
      </c>
      <c r="G267">
        <v>5720</v>
      </c>
      <c r="H267">
        <v>44</v>
      </c>
      <c r="I267">
        <v>3</v>
      </c>
    </row>
    <row r="268" spans="3:10" x14ac:dyDescent="0.4">
      <c r="C268">
        <v>1</v>
      </c>
      <c r="D268">
        <v>11</v>
      </c>
      <c r="E268">
        <v>492</v>
      </c>
      <c r="F268">
        <v>40</v>
      </c>
      <c r="G268">
        <v>5760</v>
      </c>
      <c r="H268">
        <v>33</v>
      </c>
      <c r="I268">
        <v>6</v>
      </c>
    </row>
    <row r="269" spans="3:10" x14ac:dyDescent="0.4">
      <c r="C269">
        <v>1</v>
      </c>
      <c r="D269">
        <v>12</v>
      </c>
      <c r="E269">
        <v>5000</v>
      </c>
      <c r="F269">
        <v>200</v>
      </c>
      <c r="G269">
        <v>5780</v>
      </c>
      <c r="H269">
        <v>19</v>
      </c>
      <c r="I269">
        <v>6</v>
      </c>
    </row>
    <row r="270" spans="3:10" x14ac:dyDescent="0.4">
      <c r="C270">
        <v>1</v>
      </c>
      <c r="D270">
        <v>13</v>
      </c>
      <c r="E270">
        <v>1249</v>
      </c>
      <c r="F270">
        <v>250</v>
      </c>
      <c r="G270">
        <v>5830</v>
      </c>
      <c r="H270">
        <v>19</v>
      </c>
      <c r="I270">
        <v>3</v>
      </c>
    </row>
    <row r="271" spans="3:10" x14ac:dyDescent="0.4">
      <c r="C271">
        <v>1</v>
      </c>
      <c r="D271">
        <v>14</v>
      </c>
      <c r="E271">
        <v>5000</v>
      </c>
      <c r="F271">
        <v>200</v>
      </c>
      <c r="G271">
        <v>5870</v>
      </c>
      <c r="H271">
        <v>19</v>
      </c>
      <c r="I271">
        <v>2</v>
      </c>
    </row>
    <row r="272" spans="3:10" x14ac:dyDescent="0.4">
      <c r="C272">
        <v>1</v>
      </c>
      <c r="D272">
        <v>15</v>
      </c>
      <c r="E272">
        <v>5000</v>
      </c>
      <c r="F272">
        <v>200</v>
      </c>
      <c r="G272">
        <v>5840</v>
      </c>
      <c r="H272">
        <v>19</v>
      </c>
      <c r="I272">
        <v>5</v>
      </c>
    </row>
    <row r="273" spans="3:9" x14ac:dyDescent="0.4">
      <c r="C273">
        <v>1</v>
      </c>
      <c r="D273">
        <v>16</v>
      </c>
      <c r="E273">
        <v>639</v>
      </c>
      <c r="F273">
        <v>150</v>
      </c>
      <c r="G273">
        <v>5780</v>
      </c>
      <c r="H273">
        <v>59</v>
      </c>
      <c r="I273">
        <v>4</v>
      </c>
    </row>
    <row r="274" spans="3:9" x14ac:dyDescent="0.4">
      <c r="C274">
        <v>1</v>
      </c>
      <c r="D274">
        <v>17</v>
      </c>
      <c r="E274">
        <v>393</v>
      </c>
      <c r="F274">
        <v>10</v>
      </c>
      <c r="G274">
        <v>5680</v>
      </c>
      <c r="H274">
        <v>73</v>
      </c>
      <c r="I274">
        <v>5</v>
      </c>
    </row>
    <row r="275" spans="3:9" x14ac:dyDescent="0.4">
      <c r="C275">
        <v>1</v>
      </c>
      <c r="D275">
        <v>18</v>
      </c>
      <c r="E275">
        <v>5000</v>
      </c>
      <c r="F275">
        <v>140</v>
      </c>
      <c r="G275">
        <v>5720</v>
      </c>
      <c r="H275">
        <v>19</v>
      </c>
      <c r="I275">
        <v>4</v>
      </c>
    </row>
    <row r="276" spans="3:9" x14ac:dyDescent="0.4">
      <c r="C276">
        <v>1</v>
      </c>
      <c r="D276">
        <v>19</v>
      </c>
      <c r="E276">
        <v>5000</v>
      </c>
      <c r="F276">
        <v>250</v>
      </c>
      <c r="G276">
        <v>5760</v>
      </c>
      <c r="H276">
        <v>19</v>
      </c>
      <c r="I276">
        <v>3</v>
      </c>
    </row>
    <row r="277" spans="3:9" x14ac:dyDescent="0.4">
      <c r="C277">
        <v>1</v>
      </c>
      <c r="D277">
        <v>20</v>
      </c>
      <c r="E277">
        <v>5000</v>
      </c>
      <c r="F277">
        <v>200</v>
      </c>
      <c r="G277">
        <v>5730</v>
      </c>
      <c r="H277">
        <v>26</v>
      </c>
      <c r="I277">
        <v>4</v>
      </c>
    </row>
    <row r="278" spans="3:9" x14ac:dyDescent="0.4">
      <c r="C278">
        <v>1</v>
      </c>
      <c r="D278">
        <v>21</v>
      </c>
      <c r="E278">
        <v>3044</v>
      </c>
      <c r="F278">
        <v>150</v>
      </c>
      <c r="G278">
        <v>5700</v>
      </c>
      <c r="H278">
        <v>59</v>
      </c>
      <c r="I278">
        <v>5</v>
      </c>
    </row>
    <row r="279" spans="3:9" x14ac:dyDescent="0.4">
      <c r="C279">
        <v>1</v>
      </c>
      <c r="D279">
        <v>22</v>
      </c>
      <c r="E279">
        <v>3641</v>
      </c>
      <c r="F279">
        <v>140</v>
      </c>
      <c r="G279">
        <v>5650</v>
      </c>
      <c r="H279">
        <v>70</v>
      </c>
      <c r="I279">
        <v>5</v>
      </c>
    </row>
    <row r="280" spans="3:9" x14ac:dyDescent="0.4">
      <c r="C280">
        <v>1</v>
      </c>
      <c r="D280">
        <v>23</v>
      </c>
      <c r="E280">
        <v>111</v>
      </c>
      <c r="F280">
        <v>50</v>
      </c>
      <c r="G280">
        <v>5680</v>
      </c>
      <c r="H280">
        <v>64</v>
      </c>
      <c r="I280">
        <v>3</v>
      </c>
    </row>
    <row r="281" spans="3:9" x14ac:dyDescent="0.4">
      <c r="C281">
        <v>1</v>
      </c>
      <c r="D281">
        <v>24</v>
      </c>
      <c r="E281">
        <v>597</v>
      </c>
      <c r="F281">
        <v>70</v>
      </c>
      <c r="G281">
        <v>5820</v>
      </c>
      <c r="H281">
        <v>19</v>
      </c>
      <c r="I281">
        <v>5</v>
      </c>
    </row>
    <row r="282" spans="3:9" x14ac:dyDescent="0.4">
      <c r="C282">
        <v>1</v>
      </c>
      <c r="D282">
        <v>25</v>
      </c>
      <c r="E282">
        <v>1791</v>
      </c>
      <c r="F282">
        <v>150</v>
      </c>
      <c r="G282">
        <v>5810</v>
      </c>
      <c r="H282">
        <v>19</v>
      </c>
      <c r="I282">
        <v>5</v>
      </c>
    </row>
    <row r="283" spans="3:9" x14ac:dyDescent="0.4">
      <c r="C283">
        <v>1</v>
      </c>
      <c r="D283">
        <v>26</v>
      </c>
      <c r="E283">
        <v>793</v>
      </c>
      <c r="F283">
        <v>120</v>
      </c>
      <c r="G283">
        <v>5790</v>
      </c>
      <c r="H283">
        <v>28</v>
      </c>
      <c r="I283">
        <v>3</v>
      </c>
    </row>
    <row r="284" spans="3:9" x14ac:dyDescent="0.4">
      <c r="C284">
        <v>1</v>
      </c>
      <c r="D284">
        <v>27</v>
      </c>
      <c r="E284">
        <v>531</v>
      </c>
      <c r="F284">
        <v>40</v>
      </c>
      <c r="G284">
        <v>5800</v>
      </c>
      <c r="H284">
        <v>32</v>
      </c>
      <c r="I284">
        <v>2</v>
      </c>
    </row>
    <row r="285" spans="3:9" x14ac:dyDescent="0.4">
      <c r="C285">
        <v>1</v>
      </c>
      <c r="D285">
        <v>28</v>
      </c>
      <c r="E285">
        <v>419</v>
      </c>
      <c r="F285">
        <v>120</v>
      </c>
      <c r="G285">
        <v>5820</v>
      </c>
      <c r="H285">
        <v>19</v>
      </c>
      <c r="I285">
        <v>5</v>
      </c>
    </row>
    <row r="286" spans="3:9" x14ac:dyDescent="0.4">
      <c r="C286">
        <v>1</v>
      </c>
      <c r="D286">
        <v>29</v>
      </c>
      <c r="E286">
        <v>816</v>
      </c>
      <c r="F286">
        <v>6</v>
      </c>
      <c r="G286">
        <v>5770</v>
      </c>
      <c r="H286">
        <v>76</v>
      </c>
      <c r="I286">
        <v>8</v>
      </c>
    </row>
    <row r="287" spans="3:9" x14ac:dyDescent="0.4">
      <c r="C287">
        <v>1</v>
      </c>
      <c r="D287">
        <v>30</v>
      </c>
      <c r="E287">
        <v>3651</v>
      </c>
      <c r="F287">
        <v>30</v>
      </c>
      <c r="G287">
        <v>5670</v>
      </c>
      <c r="H287">
        <v>69</v>
      </c>
      <c r="I287">
        <v>3</v>
      </c>
    </row>
    <row r="288" spans="3:9" x14ac:dyDescent="0.4">
      <c r="C288">
        <v>1</v>
      </c>
      <c r="D288">
        <v>31</v>
      </c>
      <c r="E288">
        <v>5000</v>
      </c>
      <c r="F288">
        <v>100</v>
      </c>
      <c r="G288">
        <v>5590</v>
      </c>
      <c r="H288">
        <v>76</v>
      </c>
      <c r="I288">
        <v>3</v>
      </c>
    </row>
    <row r="289" spans="3:9" x14ac:dyDescent="0.4">
      <c r="C289">
        <v>1</v>
      </c>
      <c r="D289">
        <v>32</v>
      </c>
      <c r="E289">
        <v>5000</v>
      </c>
      <c r="F289">
        <v>200</v>
      </c>
      <c r="G289">
        <v>5410</v>
      </c>
      <c r="H289">
        <v>64</v>
      </c>
      <c r="I289">
        <v>6</v>
      </c>
    </row>
    <row r="290" spans="3:9" x14ac:dyDescent="0.4">
      <c r="C290">
        <v>1</v>
      </c>
      <c r="D290">
        <v>33</v>
      </c>
      <c r="E290">
        <v>1341</v>
      </c>
      <c r="F290">
        <v>60</v>
      </c>
      <c r="G290">
        <v>5350</v>
      </c>
      <c r="H290">
        <v>62</v>
      </c>
      <c r="I290">
        <v>7</v>
      </c>
    </row>
    <row r="291" spans="3:9" x14ac:dyDescent="0.4">
      <c r="C291">
        <v>1</v>
      </c>
      <c r="D291">
        <v>34</v>
      </c>
      <c r="E291">
        <v>5000</v>
      </c>
      <c r="F291">
        <v>350</v>
      </c>
      <c r="G291">
        <v>5480</v>
      </c>
      <c r="H291">
        <v>72</v>
      </c>
      <c r="I291">
        <v>9</v>
      </c>
    </row>
    <row r="292" spans="3:9" x14ac:dyDescent="0.4">
      <c r="C292">
        <v>1</v>
      </c>
      <c r="D292">
        <v>35</v>
      </c>
      <c r="E292">
        <v>3799</v>
      </c>
      <c r="F292">
        <v>250</v>
      </c>
      <c r="G292">
        <v>5600</v>
      </c>
      <c r="H292">
        <v>76</v>
      </c>
      <c r="I292">
        <v>7</v>
      </c>
    </row>
    <row r="293" spans="3:9" x14ac:dyDescent="0.4">
      <c r="C293">
        <v>1</v>
      </c>
      <c r="D293">
        <v>36</v>
      </c>
      <c r="E293">
        <v>5000</v>
      </c>
      <c r="F293">
        <v>350</v>
      </c>
      <c r="G293">
        <v>5490</v>
      </c>
      <c r="H293">
        <v>72</v>
      </c>
      <c r="I293">
        <v>11</v>
      </c>
    </row>
    <row r="294" spans="3:9" x14ac:dyDescent="0.4">
      <c r="C294">
        <v>1</v>
      </c>
      <c r="D294">
        <v>37</v>
      </c>
      <c r="E294">
        <v>5000</v>
      </c>
      <c r="F294">
        <v>300</v>
      </c>
      <c r="G294">
        <v>5560</v>
      </c>
      <c r="H294">
        <v>72</v>
      </c>
      <c r="I294">
        <v>10</v>
      </c>
    </row>
    <row r="295" spans="3:9" x14ac:dyDescent="0.4">
      <c r="C295">
        <v>1</v>
      </c>
      <c r="D295">
        <v>38</v>
      </c>
      <c r="E295">
        <v>5000</v>
      </c>
      <c r="F295">
        <v>300</v>
      </c>
      <c r="G295">
        <v>5700</v>
      </c>
      <c r="H295">
        <v>32</v>
      </c>
      <c r="I295">
        <v>3</v>
      </c>
    </row>
    <row r="296" spans="3:9" x14ac:dyDescent="0.4">
      <c r="C296">
        <v>1</v>
      </c>
      <c r="D296">
        <v>39</v>
      </c>
      <c r="E296">
        <v>5000</v>
      </c>
      <c r="F296">
        <v>300</v>
      </c>
      <c r="G296">
        <v>5680</v>
      </c>
      <c r="H296">
        <v>50</v>
      </c>
      <c r="I296">
        <v>5</v>
      </c>
    </row>
    <row r="297" spans="3:9" x14ac:dyDescent="0.4">
      <c r="C297">
        <v>1</v>
      </c>
      <c r="D297">
        <v>40</v>
      </c>
      <c r="E297">
        <v>2398</v>
      </c>
      <c r="F297">
        <v>200</v>
      </c>
      <c r="G297">
        <v>5700</v>
      </c>
      <c r="H297">
        <v>86</v>
      </c>
      <c r="I297">
        <v>4</v>
      </c>
    </row>
    <row r="298" spans="3:9" x14ac:dyDescent="0.4">
      <c r="C298">
        <v>1</v>
      </c>
      <c r="D298">
        <v>41</v>
      </c>
      <c r="E298">
        <v>5000</v>
      </c>
      <c r="F298">
        <v>100</v>
      </c>
      <c r="G298">
        <v>5650</v>
      </c>
      <c r="H298">
        <v>61</v>
      </c>
      <c r="I298">
        <v>5</v>
      </c>
    </row>
    <row r="299" spans="3:9" x14ac:dyDescent="0.4">
      <c r="C299">
        <v>1</v>
      </c>
      <c r="D299">
        <v>42</v>
      </c>
      <c r="E299">
        <v>4281</v>
      </c>
      <c r="F299">
        <v>250</v>
      </c>
      <c r="G299">
        <v>5610</v>
      </c>
      <c r="H299">
        <v>62</v>
      </c>
      <c r="I299">
        <v>5</v>
      </c>
    </row>
    <row r="300" spans="3:9" x14ac:dyDescent="0.4">
      <c r="C300">
        <v>1</v>
      </c>
      <c r="D300">
        <v>43</v>
      </c>
      <c r="E300">
        <v>1161</v>
      </c>
      <c r="F300">
        <v>200</v>
      </c>
      <c r="G300">
        <v>5730</v>
      </c>
      <c r="H300">
        <v>66</v>
      </c>
      <c r="I300">
        <v>5</v>
      </c>
    </row>
    <row r="301" spans="3:9" x14ac:dyDescent="0.4">
      <c r="C301">
        <v>1</v>
      </c>
      <c r="D301">
        <v>44</v>
      </c>
      <c r="E301">
        <v>2778</v>
      </c>
      <c r="F301">
        <v>200</v>
      </c>
      <c r="G301">
        <v>5770</v>
      </c>
      <c r="H301">
        <v>68</v>
      </c>
      <c r="I301">
        <v>5</v>
      </c>
    </row>
    <row r="302" spans="3:9" x14ac:dyDescent="0.4">
      <c r="C302">
        <v>1</v>
      </c>
      <c r="D302">
        <v>45</v>
      </c>
      <c r="E302">
        <v>442</v>
      </c>
      <c r="F302">
        <v>40</v>
      </c>
      <c r="G302">
        <v>5770</v>
      </c>
      <c r="H302">
        <v>82</v>
      </c>
      <c r="I302">
        <v>3</v>
      </c>
    </row>
    <row r="303" spans="3:9" x14ac:dyDescent="0.4">
      <c r="C303">
        <v>1</v>
      </c>
      <c r="D303">
        <v>46</v>
      </c>
      <c r="E303">
        <v>5000</v>
      </c>
      <c r="F303">
        <v>300</v>
      </c>
      <c r="G303">
        <v>5690</v>
      </c>
      <c r="H303">
        <v>21</v>
      </c>
      <c r="I303">
        <v>8</v>
      </c>
    </row>
    <row r="304" spans="3:9" x14ac:dyDescent="0.4">
      <c r="C304">
        <v>1</v>
      </c>
      <c r="D304">
        <v>47</v>
      </c>
      <c r="E304">
        <v>5000</v>
      </c>
      <c r="F304">
        <v>300</v>
      </c>
      <c r="G304">
        <v>5700</v>
      </c>
      <c r="H304">
        <v>19</v>
      </c>
      <c r="I304">
        <v>3</v>
      </c>
    </row>
    <row r="305" spans="3:9" x14ac:dyDescent="0.4">
      <c r="C305">
        <v>1</v>
      </c>
      <c r="D305">
        <v>48</v>
      </c>
      <c r="E305">
        <v>5000</v>
      </c>
      <c r="F305">
        <v>300</v>
      </c>
      <c r="G305">
        <v>5730</v>
      </c>
      <c r="H305">
        <v>19</v>
      </c>
      <c r="I305">
        <v>11</v>
      </c>
    </row>
    <row r="306" spans="3:9" x14ac:dyDescent="0.4">
      <c r="C306">
        <v>1</v>
      </c>
      <c r="D306">
        <v>49</v>
      </c>
      <c r="E306">
        <v>5000</v>
      </c>
      <c r="F306">
        <v>300</v>
      </c>
      <c r="G306">
        <v>5690</v>
      </c>
      <c r="H306">
        <v>19</v>
      </c>
      <c r="I306">
        <v>7</v>
      </c>
    </row>
    <row r="307" spans="3:9" x14ac:dyDescent="0.4">
      <c r="C307">
        <v>1</v>
      </c>
      <c r="D307">
        <v>50</v>
      </c>
      <c r="E307">
        <v>5000</v>
      </c>
      <c r="F307">
        <v>300</v>
      </c>
      <c r="G307">
        <v>5640</v>
      </c>
      <c r="H307">
        <v>68</v>
      </c>
      <c r="I307">
        <v>5</v>
      </c>
    </row>
    <row r="308" spans="3:9" x14ac:dyDescent="0.4">
      <c r="C308">
        <v>1</v>
      </c>
      <c r="D308">
        <v>51</v>
      </c>
      <c r="E308">
        <v>1341</v>
      </c>
      <c r="F308">
        <v>150</v>
      </c>
      <c r="G308">
        <v>5720</v>
      </c>
      <c r="H308">
        <v>63</v>
      </c>
      <c r="I308">
        <v>6</v>
      </c>
    </row>
    <row r="309" spans="3:9" x14ac:dyDescent="0.4">
      <c r="C309">
        <v>1</v>
      </c>
      <c r="D309">
        <v>52</v>
      </c>
      <c r="E309">
        <v>1318</v>
      </c>
      <c r="F309">
        <v>150</v>
      </c>
      <c r="G309">
        <v>5740</v>
      </c>
      <c r="H309">
        <v>54</v>
      </c>
      <c r="I309">
        <v>3</v>
      </c>
    </row>
    <row r="310" spans="3:9" x14ac:dyDescent="0.4">
      <c r="C310">
        <v>1</v>
      </c>
      <c r="D310">
        <v>53</v>
      </c>
      <c r="E310">
        <v>885</v>
      </c>
      <c r="F310">
        <v>80</v>
      </c>
      <c r="G310">
        <v>5740</v>
      </c>
      <c r="H310">
        <v>47</v>
      </c>
      <c r="I310">
        <v>3</v>
      </c>
    </row>
    <row r="311" spans="3:9" x14ac:dyDescent="0.4">
      <c r="C311">
        <v>1</v>
      </c>
      <c r="D311">
        <v>54</v>
      </c>
      <c r="E311">
        <v>360</v>
      </c>
      <c r="F311">
        <v>40</v>
      </c>
      <c r="G311">
        <v>5740</v>
      </c>
      <c r="H311">
        <v>56</v>
      </c>
      <c r="I311">
        <v>3</v>
      </c>
    </row>
    <row r="312" spans="3:9" x14ac:dyDescent="0.4">
      <c r="C312">
        <v>1</v>
      </c>
      <c r="D312">
        <v>55</v>
      </c>
      <c r="E312">
        <v>3497</v>
      </c>
      <c r="F312">
        <v>40</v>
      </c>
      <c r="G312">
        <v>5670</v>
      </c>
      <c r="H312">
        <v>61</v>
      </c>
      <c r="I312">
        <v>7</v>
      </c>
    </row>
    <row r="313" spans="3:9" x14ac:dyDescent="0.4">
      <c r="C313">
        <v>1</v>
      </c>
      <c r="D313">
        <v>56</v>
      </c>
      <c r="E313">
        <v>5000</v>
      </c>
      <c r="F313">
        <v>80</v>
      </c>
      <c r="G313">
        <v>5550</v>
      </c>
      <c r="H313">
        <v>74</v>
      </c>
      <c r="I313">
        <v>10</v>
      </c>
    </row>
    <row r="314" spans="3:9" x14ac:dyDescent="0.4">
      <c r="C314">
        <v>1</v>
      </c>
      <c r="D314">
        <v>57</v>
      </c>
      <c r="E314">
        <v>5000</v>
      </c>
      <c r="F314">
        <v>300</v>
      </c>
      <c r="G314">
        <v>5470</v>
      </c>
      <c r="H314">
        <v>46</v>
      </c>
      <c r="I314">
        <v>7</v>
      </c>
    </row>
    <row r="315" spans="3:9" x14ac:dyDescent="0.4">
      <c r="C315">
        <v>1</v>
      </c>
      <c r="D315">
        <v>58</v>
      </c>
      <c r="E315">
        <v>5000</v>
      </c>
      <c r="F315">
        <v>200</v>
      </c>
      <c r="G315">
        <v>5320</v>
      </c>
      <c r="H315">
        <v>45</v>
      </c>
      <c r="I315">
        <v>11</v>
      </c>
    </row>
    <row r="316" spans="3:9" x14ac:dyDescent="0.4">
      <c r="C316">
        <v>1</v>
      </c>
      <c r="D316">
        <v>59</v>
      </c>
      <c r="E316">
        <v>5000</v>
      </c>
      <c r="F316">
        <v>140</v>
      </c>
      <c r="G316">
        <v>5530</v>
      </c>
      <c r="H316">
        <v>43</v>
      </c>
      <c r="I316">
        <v>3</v>
      </c>
    </row>
    <row r="317" spans="3:9" x14ac:dyDescent="0.4">
      <c r="C317">
        <v>1</v>
      </c>
      <c r="D317">
        <v>60</v>
      </c>
      <c r="E317">
        <v>5000</v>
      </c>
      <c r="F317">
        <v>140</v>
      </c>
      <c r="G317">
        <v>5600</v>
      </c>
      <c r="H317">
        <v>21</v>
      </c>
      <c r="I317">
        <v>3</v>
      </c>
    </row>
    <row r="318" spans="3:9" x14ac:dyDescent="0.4">
      <c r="C318">
        <v>1</v>
      </c>
      <c r="D318">
        <v>61</v>
      </c>
      <c r="E318">
        <v>5000</v>
      </c>
      <c r="F318">
        <v>140</v>
      </c>
      <c r="G318">
        <v>5660</v>
      </c>
      <c r="H318">
        <v>57</v>
      </c>
      <c r="I318">
        <v>7</v>
      </c>
    </row>
    <row r="319" spans="3:9" x14ac:dyDescent="0.4">
      <c r="C319">
        <v>1</v>
      </c>
      <c r="D319">
        <v>62</v>
      </c>
      <c r="E319">
        <v>3608</v>
      </c>
      <c r="F319">
        <v>100</v>
      </c>
      <c r="G319">
        <v>5580</v>
      </c>
      <c r="H319">
        <v>42</v>
      </c>
      <c r="I319">
        <v>5</v>
      </c>
    </row>
    <row r="320" spans="3:9" x14ac:dyDescent="0.4">
      <c r="C320">
        <v>1</v>
      </c>
      <c r="D320">
        <v>63</v>
      </c>
      <c r="E320">
        <v>5000</v>
      </c>
      <c r="F320">
        <v>140</v>
      </c>
      <c r="G320">
        <v>5510</v>
      </c>
      <c r="H320">
        <v>50</v>
      </c>
      <c r="I320">
        <v>5</v>
      </c>
    </row>
    <row r="321" spans="3:9" x14ac:dyDescent="0.4">
      <c r="C321">
        <v>1</v>
      </c>
      <c r="D321">
        <v>64</v>
      </c>
      <c r="E321">
        <v>5000</v>
      </c>
      <c r="F321">
        <v>200</v>
      </c>
      <c r="G321">
        <v>5530</v>
      </c>
      <c r="H321">
        <v>61</v>
      </c>
      <c r="I321">
        <v>5</v>
      </c>
    </row>
    <row r="322" spans="3:9" x14ac:dyDescent="0.4">
      <c r="C322">
        <v>1</v>
      </c>
      <c r="D322">
        <v>65</v>
      </c>
      <c r="E322">
        <v>5000</v>
      </c>
      <c r="F322">
        <v>120</v>
      </c>
      <c r="G322">
        <v>5620</v>
      </c>
      <c r="H322">
        <v>61</v>
      </c>
      <c r="I322">
        <v>9</v>
      </c>
    </row>
    <row r="323" spans="3:9" x14ac:dyDescent="0.4">
      <c r="C323">
        <v>1</v>
      </c>
      <c r="D323">
        <v>66</v>
      </c>
      <c r="E323">
        <v>613</v>
      </c>
      <c r="F323">
        <v>300</v>
      </c>
      <c r="G323">
        <v>5690</v>
      </c>
      <c r="H323">
        <v>60</v>
      </c>
      <c r="I323">
        <v>0</v>
      </c>
    </row>
    <row r="324" spans="3:9" x14ac:dyDescent="0.4">
      <c r="C324">
        <v>1</v>
      </c>
      <c r="D324">
        <v>67</v>
      </c>
      <c r="E324">
        <v>334</v>
      </c>
      <c r="F324">
        <v>300</v>
      </c>
      <c r="G324">
        <v>5760</v>
      </c>
      <c r="H324">
        <v>31</v>
      </c>
      <c r="I324">
        <v>4</v>
      </c>
    </row>
    <row r="325" spans="3:9" x14ac:dyDescent="0.4">
      <c r="C325">
        <v>1</v>
      </c>
      <c r="D325">
        <v>68</v>
      </c>
      <c r="E325">
        <v>567</v>
      </c>
      <c r="F325">
        <v>150</v>
      </c>
      <c r="G325">
        <v>5740</v>
      </c>
      <c r="H325">
        <v>66</v>
      </c>
      <c r="I325">
        <v>3</v>
      </c>
    </row>
    <row r="326" spans="3:9" x14ac:dyDescent="0.4">
      <c r="C326">
        <v>1</v>
      </c>
      <c r="D326">
        <v>69</v>
      </c>
      <c r="E326">
        <v>488</v>
      </c>
      <c r="F326">
        <v>2</v>
      </c>
      <c r="G326">
        <v>5780</v>
      </c>
      <c r="H326">
        <v>53</v>
      </c>
      <c r="I326">
        <v>5</v>
      </c>
    </row>
    <row r="327" spans="3:9" x14ac:dyDescent="0.4">
      <c r="C327">
        <v>1</v>
      </c>
      <c r="D327">
        <v>70</v>
      </c>
      <c r="E327">
        <v>531</v>
      </c>
      <c r="F327">
        <v>50</v>
      </c>
      <c r="G327">
        <v>5790</v>
      </c>
      <c r="H327">
        <v>42</v>
      </c>
      <c r="I327">
        <v>2</v>
      </c>
    </row>
    <row r="328" spans="3:9" x14ac:dyDescent="0.4">
      <c r="C328">
        <v>1</v>
      </c>
      <c r="D328">
        <v>71</v>
      </c>
      <c r="E328">
        <v>508</v>
      </c>
      <c r="F328">
        <v>70</v>
      </c>
      <c r="G328">
        <v>5760</v>
      </c>
      <c r="H328">
        <v>60</v>
      </c>
      <c r="I328">
        <v>3</v>
      </c>
    </row>
    <row r="329" spans="3:9" x14ac:dyDescent="0.4">
      <c r="C329">
        <v>1</v>
      </c>
      <c r="D329">
        <v>72</v>
      </c>
      <c r="E329">
        <v>1571</v>
      </c>
      <c r="F329">
        <v>17</v>
      </c>
      <c r="G329">
        <v>5700</v>
      </c>
      <c r="H329">
        <v>82</v>
      </c>
      <c r="I329">
        <v>4</v>
      </c>
    </row>
    <row r="330" spans="3:9" x14ac:dyDescent="0.4">
      <c r="C330">
        <v>1</v>
      </c>
      <c r="D330">
        <v>73</v>
      </c>
      <c r="E330">
        <v>721</v>
      </c>
      <c r="F330">
        <v>140</v>
      </c>
      <c r="G330">
        <v>5680</v>
      </c>
      <c r="H330">
        <v>57</v>
      </c>
      <c r="I330">
        <v>4</v>
      </c>
    </row>
    <row r="331" spans="3:9" x14ac:dyDescent="0.4">
      <c r="C331">
        <v>1</v>
      </c>
      <c r="D331">
        <v>74</v>
      </c>
      <c r="E331">
        <v>505</v>
      </c>
      <c r="F331">
        <v>140</v>
      </c>
      <c r="G331">
        <v>5720</v>
      </c>
      <c r="H331">
        <v>21</v>
      </c>
      <c r="I331">
        <v>5</v>
      </c>
    </row>
    <row r="332" spans="3:9" x14ac:dyDescent="0.4">
      <c r="C332">
        <v>1</v>
      </c>
      <c r="D332">
        <v>75</v>
      </c>
      <c r="E332">
        <v>377</v>
      </c>
      <c r="F332">
        <v>300</v>
      </c>
      <c r="G332">
        <v>5720</v>
      </c>
      <c r="H332">
        <v>19</v>
      </c>
      <c r="I332">
        <v>5</v>
      </c>
    </row>
    <row r="333" spans="3:9" x14ac:dyDescent="0.4">
      <c r="C333">
        <v>1</v>
      </c>
      <c r="D333">
        <v>76</v>
      </c>
      <c r="E333">
        <v>442</v>
      </c>
      <c r="F333">
        <v>200</v>
      </c>
      <c r="G333">
        <v>5730</v>
      </c>
      <c r="H333">
        <v>32</v>
      </c>
      <c r="I333">
        <v>4</v>
      </c>
    </row>
    <row r="334" spans="3:9" x14ac:dyDescent="0.4">
      <c r="C334">
        <v>1</v>
      </c>
      <c r="D334">
        <v>77</v>
      </c>
      <c r="E334">
        <v>902</v>
      </c>
      <c r="F334">
        <v>250</v>
      </c>
      <c r="G334">
        <v>5710</v>
      </c>
      <c r="H334">
        <v>77</v>
      </c>
      <c r="I334">
        <v>5</v>
      </c>
    </row>
    <row r="335" spans="3:9" x14ac:dyDescent="0.4">
      <c r="C335">
        <v>1</v>
      </c>
      <c r="D335">
        <v>78</v>
      </c>
      <c r="E335">
        <v>1381</v>
      </c>
      <c r="F335">
        <v>60</v>
      </c>
      <c r="G335">
        <v>5720</v>
      </c>
      <c r="H335">
        <v>71</v>
      </c>
      <c r="I335">
        <v>4</v>
      </c>
    </row>
    <row r="336" spans="3:9" x14ac:dyDescent="0.4">
      <c r="C336">
        <v>1</v>
      </c>
      <c r="D336">
        <v>79</v>
      </c>
      <c r="E336">
        <v>5000</v>
      </c>
      <c r="F336">
        <v>100</v>
      </c>
      <c r="G336">
        <v>5710</v>
      </c>
      <c r="H336">
        <v>19</v>
      </c>
      <c r="I336">
        <v>3</v>
      </c>
    </row>
    <row r="337" spans="3:9" x14ac:dyDescent="0.4">
      <c r="C337">
        <v>1</v>
      </c>
      <c r="D337">
        <v>80</v>
      </c>
      <c r="E337">
        <v>5000</v>
      </c>
      <c r="F337">
        <v>150</v>
      </c>
      <c r="G337">
        <v>5600</v>
      </c>
      <c r="H337">
        <v>45</v>
      </c>
      <c r="I337">
        <v>6</v>
      </c>
    </row>
    <row r="341" spans="3:9" x14ac:dyDescent="0.4">
      <c r="C341" t="s">
        <v>16</v>
      </c>
    </row>
    <row r="342" spans="3:9" ht="17.7" x14ac:dyDescent="0.6">
      <c r="C342" s="1" t="s">
        <v>0</v>
      </c>
      <c r="D342" s="1" t="s">
        <v>1</v>
      </c>
      <c r="E342" s="1" t="s">
        <v>3</v>
      </c>
      <c r="F342" s="1" t="s">
        <v>5</v>
      </c>
      <c r="G342" s="1" t="s">
        <v>6</v>
      </c>
      <c r="H342" s="1" t="s">
        <v>8</v>
      </c>
    </row>
    <row r="343" spans="3:9" x14ac:dyDescent="0.4">
      <c r="C343">
        <v>1</v>
      </c>
      <c r="D343">
        <v>1</v>
      </c>
      <c r="E343">
        <v>2693</v>
      </c>
      <c r="F343">
        <v>5710</v>
      </c>
      <c r="G343">
        <v>28</v>
      </c>
      <c r="H343">
        <v>4</v>
      </c>
    </row>
    <row r="344" spans="3:9" x14ac:dyDescent="0.4">
      <c r="C344">
        <v>1</v>
      </c>
      <c r="D344">
        <v>2</v>
      </c>
      <c r="E344">
        <v>590</v>
      </c>
      <c r="F344">
        <v>5700</v>
      </c>
      <c r="G344">
        <v>37</v>
      </c>
      <c r="H344">
        <v>3</v>
      </c>
    </row>
    <row r="345" spans="3:9" x14ac:dyDescent="0.4">
      <c r="C345">
        <v>1</v>
      </c>
      <c r="D345">
        <v>3</v>
      </c>
      <c r="E345">
        <v>1450</v>
      </c>
      <c r="F345">
        <v>5760</v>
      </c>
      <c r="G345">
        <v>51</v>
      </c>
      <c r="H345">
        <v>3</v>
      </c>
    </row>
    <row r="346" spans="3:9" x14ac:dyDescent="0.4">
      <c r="C346">
        <v>1</v>
      </c>
      <c r="D346">
        <v>4</v>
      </c>
      <c r="E346">
        <v>1568</v>
      </c>
      <c r="F346">
        <v>5720</v>
      </c>
      <c r="G346">
        <v>69</v>
      </c>
      <c r="H346">
        <v>4</v>
      </c>
    </row>
    <row r="347" spans="3:9" x14ac:dyDescent="0.4">
      <c r="C347">
        <v>1</v>
      </c>
      <c r="D347">
        <v>5</v>
      </c>
      <c r="E347">
        <v>2631</v>
      </c>
      <c r="F347">
        <v>5790</v>
      </c>
      <c r="G347">
        <v>19</v>
      </c>
      <c r="H347">
        <v>6</v>
      </c>
    </row>
    <row r="348" spans="3:9" x14ac:dyDescent="0.4">
      <c r="C348">
        <v>1</v>
      </c>
      <c r="D348">
        <v>6</v>
      </c>
      <c r="E348">
        <v>554</v>
      </c>
      <c r="F348">
        <v>5790</v>
      </c>
      <c r="G348">
        <v>25</v>
      </c>
      <c r="H348">
        <v>3</v>
      </c>
    </row>
    <row r="349" spans="3:9" x14ac:dyDescent="0.4">
      <c r="C349">
        <v>1</v>
      </c>
      <c r="D349">
        <v>7</v>
      </c>
      <c r="E349">
        <v>2083</v>
      </c>
      <c r="F349">
        <v>5700</v>
      </c>
      <c r="G349">
        <v>73</v>
      </c>
      <c r="H349">
        <v>3</v>
      </c>
    </row>
    <row r="350" spans="3:9" x14ac:dyDescent="0.4">
      <c r="C350">
        <v>1</v>
      </c>
      <c r="D350">
        <v>8</v>
      </c>
      <c r="E350">
        <v>2654</v>
      </c>
      <c r="F350">
        <v>5700</v>
      </c>
      <c r="G350">
        <v>59</v>
      </c>
      <c r="H350">
        <v>3</v>
      </c>
    </row>
    <row r="351" spans="3:9" x14ac:dyDescent="0.4">
      <c r="C351">
        <v>1</v>
      </c>
      <c r="D351">
        <v>9</v>
      </c>
      <c r="E351">
        <v>5000</v>
      </c>
      <c r="F351">
        <v>5770</v>
      </c>
      <c r="G351">
        <v>27</v>
      </c>
      <c r="H351">
        <v>8</v>
      </c>
    </row>
    <row r="352" spans="3:9" x14ac:dyDescent="0.4">
      <c r="C352">
        <v>1</v>
      </c>
      <c r="D352">
        <v>10</v>
      </c>
      <c r="E352">
        <v>111</v>
      </c>
      <c r="F352">
        <v>5720</v>
      </c>
      <c r="G352">
        <v>44</v>
      </c>
      <c r="H352">
        <v>3</v>
      </c>
    </row>
    <row r="353" spans="3:8" x14ac:dyDescent="0.4">
      <c r="C353">
        <v>1</v>
      </c>
      <c r="D353">
        <v>11</v>
      </c>
      <c r="E353">
        <v>492</v>
      </c>
      <c r="F353">
        <v>5760</v>
      </c>
      <c r="G353">
        <v>33</v>
      </c>
      <c r="H353">
        <v>6</v>
      </c>
    </row>
    <row r="354" spans="3:8" x14ac:dyDescent="0.4">
      <c r="C354">
        <v>1</v>
      </c>
      <c r="D354">
        <v>12</v>
      </c>
      <c r="E354">
        <v>5000</v>
      </c>
      <c r="F354">
        <v>5780</v>
      </c>
      <c r="G354">
        <v>19</v>
      </c>
      <c r="H354">
        <v>6</v>
      </c>
    </row>
    <row r="355" spans="3:8" x14ac:dyDescent="0.4">
      <c r="C355">
        <v>1</v>
      </c>
      <c r="D355">
        <v>13</v>
      </c>
      <c r="E355">
        <v>1249</v>
      </c>
      <c r="F355">
        <v>5830</v>
      </c>
      <c r="G355">
        <v>19</v>
      </c>
      <c r="H355">
        <v>3</v>
      </c>
    </row>
    <row r="356" spans="3:8" x14ac:dyDescent="0.4">
      <c r="C356">
        <v>1</v>
      </c>
      <c r="D356">
        <v>14</v>
      </c>
      <c r="E356">
        <v>5000</v>
      </c>
      <c r="F356">
        <v>5870</v>
      </c>
      <c r="G356">
        <v>19</v>
      </c>
      <c r="H356">
        <v>2</v>
      </c>
    </row>
    <row r="357" spans="3:8" x14ac:dyDescent="0.4">
      <c r="C357">
        <v>1</v>
      </c>
      <c r="D357">
        <v>15</v>
      </c>
      <c r="E357">
        <v>5000</v>
      </c>
      <c r="F357">
        <v>5840</v>
      </c>
      <c r="G357">
        <v>19</v>
      </c>
      <c r="H357">
        <v>5</v>
      </c>
    </row>
    <row r="358" spans="3:8" x14ac:dyDescent="0.4">
      <c r="C358">
        <v>1</v>
      </c>
      <c r="D358">
        <v>16</v>
      </c>
      <c r="E358">
        <v>639</v>
      </c>
      <c r="F358">
        <v>5780</v>
      </c>
      <c r="G358">
        <v>59</v>
      </c>
      <c r="H358">
        <v>4</v>
      </c>
    </row>
    <row r="359" spans="3:8" x14ac:dyDescent="0.4">
      <c r="C359">
        <v>1</v>
      </c>
      <c r="D359">
        <v>17</v>
      </c>
      <c r="E359">
        <v>393</v>
      </c>
      <c r="F359">
        <v>5680</v>
      </c>
      <c r="G359">
        <v>73</v>
      </c>
      <c r="H359">
        <v>5</v>
      </c>
    </row>
    <row r="360" spans="3:8" x14ac:dyDescent="0.4">
      <c r="C360">
        <v>1</v>
      </c>
      <c r="D360">
        <v>18</v>
      </c>
      <c r="E360">
        <v>5000</v>
      </c>
      <c r="F360">
        <v>5720</v>
      </c>
      <c r="G360">
        <v>19</v>
      </c>
      <c r="H360">
        <v>4</v>
      </c>
    </row>
    <row r="361" spans="3:8" x14ac:dyDescent="0.4">
      <c r="C361">
        <v>1</v>
      </c>
      <c r="D361">
        <v>19</v>
      </c>
      <c r="E361">
        <v>5000</v>
      </c>
      <c r="F361">
        <v>5760</v>
      </c>
      <c r="G361">
        <v>19</v>
      </c>
      <c r="H361">
        <v>3</v>
      </c>
    </row>
    <row r="362" spans="3:8" x14ac:dyDescent="0.4">
      <c r="C362">
        <v>1</v>
      </c>
      <c r="D362">
        <v>20</v>
      </c>
      <c r="E362">
        <v>5000</v>
      </c>
      <c r="F362">
        <v>5730</v>
      </c>
      <c r="G362">
        <v>26</v>
      </c>
      <c r="H362">
        <v>4</v>
      </c>
    </row>
    <row r="363" spans="3:8" x14ac:dyDescent="0.4">
      <c r="C363">
        <v>1</v>
      </c>
      <c r="D363">
        <v>21</v>
      </c>
      <c r="E363">
        <v>3044</v>
      </c>
      <c r="F363">
        <v>5700</v>
      </c>
      <c r="G363">
        <v>59</v>
      </c>
      <c r="H363">
        <v>5</v>
      </c>
    </row>
    <row r="364" spans="3:8" x14ac:dyDescent="0.4">
      <c r="C364">
        <v>1</v>
      </c>
      <c r="D364">
        <v>22</v>
      </c>
      <c r="E364">
        <v>3641</v>
      </c>
      <c r="F364">
        <v>5650</v>
      </c>
      <c r="G364">
        <v>70</v>
      </c>
      <c r="H364">
        <v>5</v>
      </c>
    </row>
    <row r="365" spans="3:8" x14ac:dyDescent="0.4">
      <c r="C365">
        <v>1</v>
      </c>
      <c r="D365">
        <v>23</v>
      </c>
      <c r="E365">
        <v>111</v>
      </c>
      <c r="F365">
        <v>5680</v>
      </c>
      <c r="G365">
        <v>64</v>
      </c>
      <c r="H365">
        <v>3</v>
      </c>
    </row>
    <row r="366" spans="3:8" x14ac:dyDescent="0.4">
      <c r="C366">
        <v>1</v>
      </c>
      <c r="D366">
        <v>24</v>
      </c>
      <c r="E366">
        <v>597</v>
      </c>
      <c r="F366">
        <v>5820</v>
      </c>
      <c r="G366">
        <v>19</v>
      </c>
      <c r="H366">
        <v>5</v>
      </c>
    </row>
    <row r="367" spans="3:8" x14ac:dyDescent="0.4">
      <c r="C367">
        <v>1</v>
      </c>
      <c r="D367">
        <v>25</v>
      </c>
      <c r="E367">
        <v>1791</v>
      </c>
      <c r="F367">
        <v>5810</v>
      </c>
      <c r="G367">
        <v>19</v>
      </c>
      <c r="H367">
        <v>5</v>
      </c>
    </row>
    <row r="368" spans="3:8" x14ac:dyDescent="0.4">
      <c r="C368">
        <v>1</v>
      </c>
      <c r="D368">
        <v>26</v>
      </c>
      <c r="E368">
        <v>793</v>
      </c>
      <c r="F368">
        <v>5790</v>
      </c>
      <c r="G368">
        <v>28</v>
      </c>
      <c r="H368">
        <v>3</v>
      </c>
    </row>
    <row r="369" spans="3:8" x14ac:dyDescent="0.4">
      <c r="C369">
        <v>1</v>
      </c>
      <c r="D369">
        <v>27</v>
      </c>
      <c r="E369">
        <v>531</v>
      </c>
      <c r="F369">
        <v>5800</v>
      </c>
      <c r="G369">
        <v>32</v>
      </c>
      <c r="H369">
        <v>2</v>
      </c>
    </row>
    <row r="370" spans="3:8" x14ac:dyDescent="0.4">
      <c r="C370">
        <v>1</v>
      </c>
      <c r="D370">
        <v>28</v>
      </c>
      <c r="E370">
        <v>419</v>
      </c>
      <c r="F370">
        <v>5820</v>
      </c>
      <c r="G370">
        <v>19</v>
      </c>
      <c r="H370">
        <v>5</v>
      </c>
    </row>
    <row r="371" spans="3:8" x14ac:dyDescent="0.4">
      <c r="C371">
        <v>1</v>
      </c>
      <c r="D371">
        <v>29</v>
      </c>
      <c r="E371">
        <v>816</v>
      </c>
      <c r="F371">
        <v>5770</v>
      </c>
      <c r="G371">
        <v>76</v>
      </c>
      <c r="H371">
        <v>8</v>
      </c>
    </row>
    <row r="372" spans="3:8" x14ac:dyDescent="0.4">
      <c r="C372">
        <v>1</v>
      </c>
      <c r="D372">
        <v>30</v>
      </c>
      <c r="E372">
        <v>3651</v>
      </c>
      <c r="F372">
        <v>5670</v>
      </c>
      <c r="G372">
        <v>69</v>
      </c>
      <c r="H372">
        <v>3</v>
      </c>
    </row>
    <row r="373" spans="3:8" x14ac:dyDescent="0.4">
      <c r="C373">
        <v>1</v>
      </c>
      <c r="D373">
        <v>31</v>
      </c>
      <c r="E373">
        <v>5000</v>
      </c>
      <c r="F373">
        <v>5590</v>
      </c>
      <c r="G373">
        <v>76</v>
      </c>
      <c r="H373">
        <v>3</v>
      </c>
    </row>
    <row r="374" spans="3:8" x14ac:dyDescent="0.4">
      <c r="C374">
        <v>1</v>
      </c>
      <c r="D374">
        <v>32</v>
      </c>
      <c r="E374">
        <v>5000</v>
      </c>
      <c r="F374">
        <v>5410</v>
      </c>
      <c r="G374">
        <v>64</v>
      </c>
      <c r="H374">
        <v>6</v>
      </c>
    </row>
    <row r="375" spans="3:8" x14ac:dyDescent="0.4">
      <c r="C375">
        <v>1</v>
      </c>
      <c r="D375">
        <v>33</v>
      </c>
      <c r="E375">
        <v>1341</v>
      </c>
      <c r="F375">
        <v>5350</v>
      </c>
      <c r="G375">
        <v>62</v>
      </c>
      <c r="H375">
        <v>7</v>
      </c>
    </row>
    <row r="376" spans="3:8" x14ac:dyDescent="0.4">
      <c r="C376">
        <v>1</v>
      </c>
      <c r="D376">
        <v>34</v>
      </c>
      <c r="E376">
        <v>5000</v>
      </c>
      <c r="F376">
        <v>5480</v>
      </c>
      <c r="G376">
        <v>72</v>
      </c>
      <c r="H376">
        <v>9</v>
      </c>
    </row>
    <row r="377" spans="3:8" x14ac:dyDescent="0.4">
      <c r="C377">
        <v>1</v>
      </c>
      <c r="D377">
        <v>35</v>
      </c>
      <c r="E377">
        <v>3799</v>
      </c>
      <c r="F377">
        <v>5600</v>
      </c>
      <c r="G377">
        <v>76</v>
      </c>
      <c r="H377">
        <v>7</v>
      </c>
    </row>
    <row r="378" spans="3:8" x14ac:dyDescent="0.4">
      <c r="C378">
        <v>1</v>
      </c>
      <c r="D378">
        <v>36</v>
      </c>
      <c r="E378">
        <v>5000</v>
      </c>
      <c r="F378">
        <v>5490</v>
      </c>
      <c r="G378">
        <v>72</v>
      </c>
      <c r="H378">
        <v>11</v>
      </c>
    </row>
    <row r="379" spans="3:8" x14ac:dyDescent="0.4">
      <c r="C379">
        <v>1</v>
      </c>
      <c r="D379">
        <v>37</v>
      </c>
      <c r="E379">
        <v>5000</v>
      </c>
      <c r="F379">
        <v>5560</v>
      </c>
      <c r="G379">
        <v>72</v>
      </c>
      <c r="H379">
        <v>10</v>
      </c>
    </row>
    <row r="380" spans="3:8" x14ac:dyDescent="0.4">
      <c r="C380">
        <v>1</v>
      </c>
      <c r="D380">
        <v>38</v>
      </c>
      <c r="E380">
        <v>5000</v>
      </c>
      <c r="F380">
        <v>5700</v>
      </c>
      <c r="G380">
        <v>32</v>
      </c>
      <c r="H380">
        <v>3</v>
      </c>
    </row>
    <row r="381" spans="3:8" x14ac:dyDescent="0.4">
      <c r="C381">
        <v>1</v>
      </c>
      <c r="D381">
        <v>39</v>
      </c>
      <c r="E381">
        <v>5000</v>
      </c>
      <c r="F381">
        <v>5680</v>
      </c>
      <c r="G381">
        <v>50</v>
      </c>
      <c r="H381">
        <v>5</v>
      </c>
    </row>
    <row r="382" spans="3:8" x14ac:dyDescent="0.4">
      <c r="C382">
        <v>1</v>
      </c>
      <c r="D382">
        <v>40</v>
      </c>
      <c r="E382">
        <v>2398</v>
      </c>
      <c r="F382">
        <v>5700</v>
      </c>
      <c r="G382">
        <v>86</v>
      </c>
      <c r="H382">
        <v>4</v>
      </c>
    </row>
    <row r="383" spans="3:8" x14ac:dyDescent="0.4">
      <c r="C383">
        <v>1</v>
      </c>
      <c r="D383">
        <v>41</v>
      </c>
      <c r="E383">
        <v>5000</v>
      </c>
      <c r="F383">
        <v>5650</v>
      </c>
      <c r="G383">
        <v>61</v>
      </c>
      <c r="H383">
        <v>5</v>
      </c>
    </row>
    <row r="384" spans="3:8" x14ac:dyDescent="0.4">
      <c r="C384">
        <v>1</v>
      </c>
      <c r="D384">
        <v>42</v>
      </c>
      <c r="E384">
        <v>4281</v>
      </c>
      <c r="F384">
        <v>5610</v>
      </c>
      <c r="G384">
        <v>62</v>
      </c>
      <c r="H384">
        <v>5</v>
      </c>
    </row>
    <row r="385" spans="3:8" x14ac:dyDescent="0.4">
      <c r="C385">
        <v>1</v>
      </c>
      <c r="D385">
        <v>43</v>
      </c>
      <c r="E385">
        <v>1161</v>
      </c>
      <c r="F385">
        <v>5730</v>
      </c>
      <c r="G385">
        <v>66</v>
      </c>
      <c r="H385">
        <v>5</v>
      </c>
    </row>
    <row r="386" spans="3:8" x14ac:dyDescent="0.4">
      <c r="C386">
        <v>1</v>
      </c>
      <c r="D386">
        <v>44</v>
      </c>
      <c r="E386">
        <v>2778</v>
      </c>
      <c r="F386">
        <v>5770</v>
      </c>
      <c r="G386">
        <v>68</v>
      </c>
      <c r="H386">
        <v>5</v>
      </c>
    </row>
    <row r="387" spans="3:8" x14ac:dyDescent="0.4">
      <c r="C387">
        <v>1</v>
      </c>
      <c r="D387">
        <v>45</v>
      </c>
      <c r="E387">
        <v>442</v>
      </c>
      <c r="F387">
        <v>5770</v>
      </c>
      <c r="G387">
        <v>82</v>
      </c>
      <c r="H387">
        <v>3</v>
      </c>
    </row>
    <row r="388" spans="3:8" x14ac:dyDescent="0.4">
      <c r="C388">
        <v>1</v>
      </c>
      <c r="D388">
        <v>46</v>
      </c>
      <c r="E388">
        <v>5000</v>
      </c>
      <c r="F388">
        <v>5690</v>
      </c>
      <c r="G388">
        <v>21</v>
      </c>
      <c r="H388">
        <v>8</v>
      </c>
    </row>
    <row r="389" spans="3:8" x14ac:dyDescent="0.4">
      <c r="C389">
        <v>1</v>
      </c>
      <c r="D389">
        <v>47</v>
      </c>
      <c r="E389">
        <v>5000</v>
      </c>
      <c r="F389">
        <v>5700</v>
      </c>
      <c r="G389">
        <v>19</v>
      </c>
      <c r="H389">
        <v>3</v>
      </c>
    </row>
    <row r="390" spans="3:8" x14ac:dyDescent="0.4">
      <c r="C390">
        <v>1</v>
      </c>
      <c r="D390">
        <v>48</v>
      </c>
      <c r="E390">
        <v>5000</v>
      </c>
      <c r="F390">
        <v>5730</v>
      </c>
      <c r="G390">
        <v>19</v>
      </c>
      <c r="H390">
        <v>11</v>
      </c>
    </row>
    <row r="391" spans="3:8" x14ac:dyDescent="0.4">
      <c r="C391">
        <v>1</v>
      </c>
      <c r="D391">
        <v>49</v>
      </c>
      <c r="E391">
        <v>5000</v>
      </c>
      <c r="F391">
        <v>5690</v>
      </c>
      <c r="G391">
        <v>19</v>
      </c>
      <c r="H391">
        <v>7</v>
      </c>
    </row>
    <row r="392" spans="3:8" x14ac:dyDescent="0.4">
      <c r="C392">
        <v>1</v>
      </c>
      <c r="D392">
        <v>50</v>
      </c>
      <c r="E392">
        <v>5000</v>
      </c>
      <c r="F392">
        <v>5640</v>
      </c>
      <c r="G392">
        <v>68</v>
      </c>
      <c r="H392">
        <v>5</v>
      </c>
    </row>
    <row r="393" spans="3:8" x14ac:dyDescent="0.4">
      <c r="C393">
        <v>1</v>
      </c>
      <c r="D393">
        <v>51</v>
      </c>
      <c r="E393">
        <v>1341</v>
      </c>
      <c r="F393">
        <v>5720</v>
      </c>
      <c r="G393">
        <v>63</v>
      </c>
      <c r="H393">
        <v>6</v>
      </c>
    </row>
    <row r="394" spans="3:8" x14ac:dyDescent="0.4">
      <c r="C394">
        <v>1</v>
      </c>
      <c r="D394">
        <v>52</v>
      </c>
      <c r="E394">
        <v>1318</v>
      </c>
      <c r="F394">
        <v>5740</v>
      </c>
      <c r="G394">
        <v>54</v>
      </c>
      <c r="H394">
        <v>3</v>
      </c>
    </row>
    <row r="395" spans="3:8" x14ac:dyDescent="0.4">
      <c r="C395">
        <v>1</v>
      </c>
      <c r="D395">
        <v>53</v>
      </c>
      <c r="E395">
        <v>885</v>
      </c>
      <c r="F395">
        <v>5740</v>
      </c>
      <c r="G395">
        <v>47</v>
      </c>
      <c r="H395">
        <v>3</v>
      </c>
    </row>
    <row r="396" spans="3:8" x14ac:dyDescent="0.4">
      <c r="C396">
        <v>1</v>
      </c>
      <c r="D396">
        <v>54</v>
      </c>
      <c r="E396">
        <v>360</v>
      </c>
      <c r="F396">
        <v>5740</v>
      </c>
      <c r="G396">
        <v>56</v>
      </c>
      <c r="H396">
        <v>3</v>
      </c>
    </row>
    <row r="397" spans="3:8" x14ac:dyDescent="0.4">
      <c r="C397">
        <v>1</v>
      </c>
      <c r="D397">
        <v>55</v>
      </c>
      <c r="E397">
        <v>3497</v>
      </c>
      <c r="F397">
        <v>5670</v>
      </c>
      <c r="G397">
        <v>61</v>
      </c>
      <c r="H397">
        <v>7</v>
      </c>
    </row>
    <row r="398" spans="3:8" x14ac:dyDescent="0.4">
      <c r="C398">
        <v>1</v>
      </c>
      <c r="D398">
        <v>56</v>
      </c>
      <c r="E398">
        <v>5000</v>
      </c>
      <c r="F398">
        <v>5550</v>
      </c>
      <c r="G398">
        <v>74</v>
      </c>
      <c r="H398">
        <v>10</v>
      </c>
    </row>
    <row r="399" spans="3:8" x14ac:dyDescent="0.4">
      <c r="C399">
        <v>1</v>
      </c>
      <c r="D399">
        <v>57</v>
      </c>
      <c r="E399">
        <v>5000</v>
      </c>
      <c r="F399">
        <v>5470</v>
      </c>
      <c r="G399">
        <v>46</v>
      </c>
      <c r="H399">
        <v>7</v>
      </c>
    </row>
    <row r="400" spans="3:8" x14ac:dyDescent="0.4">
      <c r="C400">
        <v>1</v>
      </c>
      <c r="D400">
        <v>58</v>
      </c>
      <c r="E400">
        <v>5000</v>
      </c>
      <c r="F400">
        <v>5320</v>
      </c>
      <c r="G400">
        <v>45</v>
      </c>
      <c r="H400">
        <v>11</v>
      </c>
    </row>
    <row r="401" spans="3:8" x14ac:dyDescent="0.4">
      <c r="C401">
        <v>1</v>
      </c>
      <c r="D401">
        <v>59</v>
      </c>
      <c r="E401">
        <v>5000</v>
      </c>
      <c r="F401">
        <v>5530</v>
      </c>
      <c r="G401">
        <v>43</v>
      </c>
      <c r="H401">
        <v>3</v>
      </c>
    </row>
    <row r="402" spans="3:8" x14ac:dyDescent="0.4">
      <c r="C402">
        <v>1</v>
      </c>
      <c r="D402">
        <v>60</v>
      </c>
      <c r="E402">
        <v>5000</v>
      </c>
      <c r="F402">
        <v>5600</v>
      </c>
      <c r="G402">
        <v>21</v>
      </c>
      <c r="H402">
        <v>3</v>
      </c>
    </row>
    <row r="403" spans="3:8" x14ac:dyDescent="0.4">
      <c r="C403">
        <v>1</v>
      </c>
      <c r="D403">
        <v>61</v>
      </c>
      <c r="E403">
        <v>5000</v>
      </c>
      <c r="F403">
        <v>5660</v>
      </c>
      <c r="G403">
        <v>57</v>
      </c>
      <c r="H403">
        <v>7</v>
      </c>
    </row>
    <row r="404" spans="3:8" x14ac:dyDescent="0.4">
      <c r="C404">
        <v>1</v>
      </c>
      <c r="D404">
        <v>62</v>
      </c>
      <c r="E404">
        <v>3608</v>
      </c>
      <c r="F404">
        <v>5580</v>
      </c>
      <c r="G404">
        <v>42</v>
      </c>
      <c r="H404">
        <v>5</v>
      </c>
    </row>
    <row r="405" spans="3:8" x14ac:dyDescent="0.4">
      <c r="C405">
        <v>1</v>
      </c>
      <c r="D405">
        <v>63</v>
      </c>
      <c r="E405">
        <v>5000</v>
      </c>
      <c r="F405">
        <v>5510</v>
      </c>
      <c r="G405">
        <v>50</v>
      </c>
      <c r="H405">
        <v>5</v>
      </c>
    </row>
    <row r="406" spans="3:8" x14ac:dyDescent="0.4">
      <c r="C406">
        <v>1</v>
      </c>
      <c r="D406">
        <v>64</v>
      </c>
      <c r="E406">
        <v>5000</v>
      </c>
      <c r="F406">
        <v>5530</v>
      </c>
      <c r="G406">
        <v>61</v>
      </c>
      <c r="H406">
        <v>5</v>
      </c>
    </row>
    <row r="407" spans="3:8" x14ac:dyDescent="0.4">
      <c r="C407">
        <v>1</v>
      </c>
      <c r="D407">
        <v>65</v>
      </c>
      <c r="E407">
        <v>5000</v>
      </c>
      <c r="F407">
        <v>5620</v>
      </c>
      <c r="G407">
        <v>61</v>
      </c>
      <c r="H407">
        <v>9</v>
      </c>
    </row>
    <row r="408" spans="3:8" x14ac:dyDescent="0.4">
      <c r="C408">
        <v>1</v>
      </c>
      <c r="D408">
        <v>66</v>
      </c>
      <c r="E408">
        <v>613</v>
      </c>
      <c r="F408">
        <v>5690</v>
      </c>
      <c r="G408">
        <v>60</v>
      </c>
      <c r="H408">
        <v>0</v>
      </c>
    </row>
    <row r="409" spans="3:8" x14ac:dyDescent="0.4">
      <c r="C409">
        <v>1</v>
      </c>
      <c r="D409">
        <v>67</v>
      </c>
      <c r="E409">
        <v>334</v>
      </c>
      <c r="F409">
        <v>5760</v>
      </c>
      <c r="G409">
        <v>31</v>
      </c>
      <c r="H409">
        <v>4</v>
      </c>
    </row>
    <row r="410" spans="3:8" x14ac:dyDescent="0.4">
      <c r="C410">
        <v>1</v>
      </c>
      <c r="D410">
        <v>68</v>
      </c>
      <c r="E410">
        <v>567</v>
      </c>
      <c r="F410">
        <v>5740</v>
      </c>
      <c r="G410">
        <v>66</v>
      </c>
      <c r="H410">
        <v>3</v>
      </c>
    </row>
    <row r="411" spans="3:8" x14ac:dyDescent="0.4">
      <c r="C411">
        <v>1</v>
      </c>
      <c r="D411">
        <v>69</v>
      </c>
      <c r="E411">
        <v>488</v>
      </c>
      <c r="F411">
        <v>5780</v>
      </c>
      <c r="G411">
        <v>53</v>
      </c>
      <c r="H411">
        <v>5</v>
      </c>
    </row>
    <row r="412" spans="3:8" x14ac:dyDescent="0.4">
      <c r="C412">
        <v>1</v>
      </c>
      <c r="D412">
        <v>70</v>
      </c>
      <c r="E412">
        <v>531</v>
      </c>
      <c r="F412">
        <v>5790</v>
      </c>
      <c r="G412">
        <v>42</v>
      </c>
      <c r="H412">
        <v>2</v>
      </c>
    </row>
    <row r="413" spans="3:8" x14ac:dyDescent="0.4">
      <c r="C413">
        <v>1</v>
      </c>
      <c r="D413">
        <v>71</v>
      </c>
      <c r="E413">
        <v>508</v>
      </c>
      <c r="F413">
        <v>5760</v>
      </c>
      <c r="G413">
        <v>60</v>
      </c>
      <c r="H413">
        <v>3</v>
      </c>
    </row>
    <row r="414" spans="3:8" x14ac:dyDescent="0.4">
      <c r="C414">
        <v>1</v>
      </c>
      <c r="D414">
        <v>72</v>
      </c>
      <c r="E414">
        <v>1571</v>
      </c>
      <c r="F414">
        <v>5700</v>
      </c>
      <c r="G414">
        <v>82</v>
      </c>
      <c r="H414">
        <v>4</v>
      </c>
    </row>
    <row r="415" spans="3:8" x14ac:dyDescent="0.4">
      <c r="C415">
        <v>1</v>
      </c>
      <c r="D415">
        <v>73</v>
      </c>
      <c r="E415">
        <v>721</v>
      </c>
      <c r="F415">
        <v>5680</v>
      </c>
      <c r="G415">
        <v>57</v>
      </c>
      <c r="H415">
        <v>4</v>
      </c>
    </row>
    <row r="416" spans="3:8" x14ac:dyDescent="0.4">
      <c r="C416">
        <v>1</v>
      </c>
      <c r="D416">
        <v>74</v>
      </c>
      <c r="E416">
        <v>505</v>
      </c>
      <c r="F416">
        <v>5720</v>
      </c>
      <c r="G416">
        <v>21</v>
      </c>
      <c r="H416">
        <v>5</v>
      </c>
    </row>
    <row r="417" spans="3:8" x14ac:dyDescent="0.4">
      <c r="C417">
        <v>1</v>
      </c>
      <c r="D417">
        <v>75</v>
      </c>
      <c r="E417">
        <v>377</v>
      </c>
      <c r="F417">
        <v>5720</v>
      </c>
      <c r="G417">
        <v>19</v>
      </c>
      <c r="H417">
        <v>5</v>
      </c>
    </row>
    <row r="418" spans="3:8" x14ac:dyDescent="0.4">
      <c r="C418">
        <v>1</v>
      </c>
      <c r="D418">
        <v>76</v>
      </c>
      <c r="E418">
        <v>442</v>
      </c>
      <c r="F418">
        <v>5730</v>
      </c>
      <c r="G418">
        <v>32</v>
      </c>
      <c r="H418">
        <v>4</v>
      </c>
    </row>
    <row r="419" spans="3:8" x14ac:dyDescent="0.4">
      <c r="C419">
        <v>1</v>
      </c>
      <c r="D419">
        <v>77</v>
      </c>
      <c r="E419">
        <v>902</v>
      </c>
      <c r="F419">
        <v>5710</v>
      </c>
      <c r="G419">
        <v>77</v>
      </c>
      <c r="H419">
        <v>5</v>
      </c>
    </row>
    <row r="420" spans="3:8" x14ac:dyDescent="0.4">
      <c r="C420">
        <v>1</v>
      </c>
      <c r="D420">
        <v>78</v>
      </c>
      <c r="E420">
        <v>1381</v>
      </c>
      <c r="F420">
        <v>5720</v>
      </c>
      <c r="G420">
        <v>71</v>
      </c>
      <c r="H420">
        <v>4</v>
      </c>
    </row>
    <row r="421" spans="3:8" x14ac:dyDescent="0.4">
      <c r="C421">
        <v>1</v>
      </c>
      <c r="D421">
        <v>79</v>
      </c>
      <c r="E421">
        <v>5000</v>
      </c>
      <c r="F421">
        <v>5710</v>
      </c>
      <c r="G421">
        <v>19</v>
      </c>
      <c r="H421">
        <v>3</v>
      </c>
    </row>
    <row r="422" spans="3:8" x14ac:dyDescent="0.4">
      <c r="C422">
        <v>1</v>
      </c>
      <c r="D422">
        <v>80</v>
      </c>
      <c r="E422">
        <v>5000</v>
      </c>
      <c r="F422">
        <v>5600</v>
      </c>
      <c r="G422">
        <v>45</v>
      </c>
      <c r="H422">
        <v>6</v>
      </c>
    </row>
  </sheetData>
  <mergeCells count="3">
    <mergeCell ref="M1:V1"/>
    <mergeCell ref="N20:T22"/>
    <mergeCell ref="O5:T17"/>
  </mergeCells>
  <phoneticPr fontId="2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3084" r:id="rId4">
          <objectPr defaultSize="0" autoPict="0" r:id="rId5">
            <anchor moveWithCells="1" sizeWithCells="1">
              <from>
                <xdr:col>4</xdr:col>
                <xdr:colOff>1253490</xdr:colOff>
                <xdr:row>83</xdr:row>
                <xdr:rowOff>0</xdr:rowOff>
              </from>
              <to>
                <xdr:col>8</xdr:col>
                <xdr:colOff>1009650</xdr:colOff>
                <xdr:row>83</xdr:row>
                <xdr:rowOff>0</xdr:rowOff>
              </to>
            </anchor>
          </objectPr>
        </oleObject>
      </mc:Choice>
      <mc:Fallback>
        <oleObject progId="Equation.3" shapeId="3084" r:id="rId4"/>
      </mc:Fallback>
    </mc:AlternateContent>
    <mc:AlternateContent xmlns:mc="http://schemas.openxmlformats.org/markup-compatibility/2006">
      <mc:Choice Requires="x14">
        <oleObject progId="Equation.3" shapeId="3085" r:id="rId6">
          <objectPr defaultSize="0" autoPict="0" r:id="rId7">
            <anchor moveWithCells="1" sizeWithCells="1">
              <from>
                <xdr:col>2</xdr:col>
                <xdr:colOff>1173480</xdr:colOff>
                <xdr:row>83</xdr:row>
                <xdr:rowOff>0</xdr:rowOff>
              </from>
              <to>
                <xdr:col>2</xdr:col>
                <xdr:colOff>1996440</xdr:colOff>
                <xdr:row>83</xdr:row>
                <xdr:rowOff>0</xdr:rowOff>
              </to>
            </anchor>
          </objectPr>
        </oleObject>
      </mc:Choice>
      <mc:Fallback>
        <oleObject progId="Equation.3" shapeId="3085" r:id="rId6"/>
      </mc:Fallback>
    </mc:AlternateContent>
    <mc:AlternateContent xmlns:mc="http://schemas.openxmlformats.org/markup-compatibility/2006">
      <mc:Choice Requires="x14">
        <oleObject progId="Equation.3" shapeId="3086" r:id="rId8">
          <objectPr defaultSize="0" autoPict="0" r:id="rId9">
            <anchor moveWithCells="1" sizeWithCells="1">
              <from>
                <xdr:col>12</xdr:col>
                <xdr:colOff>87630</xdr:colOff>
                <xdr:row>83</xdr:row>
                <xdr:rowOff>0</xdr:rowOff>
              </from>
              <to>
                <xdr:col>13</xdr:col>
                <xdr:colOff>99060</xdr:colOff>
                <xdr:row>83</xdr:row>
                <xdr:rowOff>0</xdr:rowOff>
              </to>
            </anchor>
          </objectPr>
        </oleObject>
      </mc:Choice>
      <mc:Fallback>
        <oleObject progId="Equation.3" shapeId="3086" r:id="rId8"/>
      </mc:Fallback>
    </mc:AlternateContent>
    <mc:AlternateContent xmlns:mc="http://schemas.openxmlformats.org/markup-compatibility/2006">
      <mc:Choice Requires="x14">
        <oleObject progId="Equation.3" shapeId="3087" r:id="rId10">
          <objectPr defaultSize="0" autoPict="0" r:id="rId11">
            <anchor moveWithCells="1" sizeWithCells="1">
              <from>
                <xdr:col>2</xdr:col>
                <xdr:colOff>1154430</xdr:colOff>
                <xdr:row>83</xdr:row>
                <xdr:rowOff>0</xdr:rowOff>
              </from>
              <to>
                <xdr:col>4</xdr:col>
                <xdr:colOff>822960</xdr:colOff>
                <xdr:row>83</xdr:row>
                <xdr:rowOff>0</xdr:rowOff>
              </to>
            </anchor>
          </objectPr>
        </oleObject>
      </mc:Choice>
      <mc:Fallback>
        <oleObject progId="Equation.3" shapeId="3087" r:id="rId10"/>
      </mc:Fallback>
    </mc:AlternateContent>
    <mc:AlternateContent xmlns:mc="http://schemas.openxmlformats.org/markup-compatibility/2006">
      <mc:Choice Requires="x14">
        <oleObject progId="Equation.3" shapeId="3088" r:id="rId12">
          <objectPr defaultSize="0" autoPict="0" r:id="rId13">
            <anchor moveWithCells="1" sizeWithCells="1">
              <from>
                <xdr:col>2</xdr:col>
                <xdr:colOff>556260</xdr:colOff>
                <xdr:row>83</xdr:row>
                <xdr:rowOff>0</xdr:rowOff>
              </from>
              <to>
                <xdr:col>2</xdr:col>
                <xdr:colOff>1996440</xdr:colOff>
                <xdr:row>83</xdr:row>
                <xdr:rowOff>0</xdr:rowOff>
              </to>
            </anchor>
          </objectPr>
        </oleObject>
      </mc:Choice>
      <mc:Fallback>
        <oleObject progId="Equation.3" shapeId="3088" r:id="rId12"/>
      </mc:Fallback>
    </mc:AlternateContent>
    <mc:AlternateContent xmlns:mc="http://schemas.openxmlformats.org/markup-compatibility/2006">
      <mc:Choice Requires="x14">
        <oleObject progId="Equation.3" shapeId="3089" r:id="rId14">
          <objectPr defaultSize="0" autoPict="0" r:id="rId15">
            <anchor moveWithCells="1" sizeWithCells="1">
              <from>
                <xdr:col>1</xdr:col>
                <xdr:colOff>864870</xdr:colOff>
                <xdr:row>83</xdr:row>
                <xdr:rowOff>0</xdr:rowOff>
              </from>
              <to>
                <xdr:col>4</xdr:col>
                <xdr:colOff>979170</xdr:colOff>
                <xdr:row>83</xdr:row>
                <xdr:rowOff>0</xdr:rowOff>
              </to>
            </anchor>
          </objectPr>
        </oleObject>
      </mc:Choice>
      <mc:Fallback>
        <oleObject progId="Equation.3" shapeId="3089" r:id="rId14"/>
      </mc:Fallback>
    </mc:AlternateContent>
    <mc:AlternateContent xmlns:mc="http://schemas.openxmlformats.org/markup-compatibility/2006">
      <mc:Choice Requires="x14">
        <oleObject progId="Equation.3" shapeId="3090" r:id="rId16">
          <objectPr defaultSize="0" autoPict="0" r:id="rId17">
            <anchor moveWithCells="1" sizeWithCells="1">
              <from>
                <xdr:col>1</xdr:col>
                <xdr:colOff>834390</xdr:colOff>
                <xdr:row>83</xdr:row>
                <xdr:rowOff>0</xdr:rowOff>
              </from>
              <to>
                <xdr:col>4</xdr:col>
                <xdr:colOff>1066800</xdr:colOff>
                <xdr:row>83</xdr:row>
                <xdr:rowOff>0</xdr:rowOff>
              </to>
            </anchor>
          </objectPr>
        </oleObject>
      </mc:Choice>
      <mc:Fallback>
        <oleObject progId="Equation.3" shapeId="3090" r:id="rId1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data</vt:lpstr>
      <vt:lpstr>lny</vt:lpstr>
      <vt:lpstr>data!X</vt:lpstr>
      <vt:lpstr>xstep1</vt:lpstr>
      <vt:lpstr>Xstep2</vt:lpstr>
      <vt:lpstr>xstep3</vt:lpstr>
      <vt:lpstr>xstep4</vt:lpstr>
      <vt:lpstr>xstep5</vt:lpstr>
      <vt:lpstr>data!y</vt:lpstr>
    </vt:vector>
  </TitlesOfParts>
  <Company>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</dc:creator>
  <cp:lastModifiedBy>Marco RIANI</cp:lastModifiedBy>
  <dcterms:created xsi:type="dcterms:W3CDTF">2006-03-29T22:21:51Z</dcterms:created>
  <dcterms:modified xsi:type="dcterms:W3CDTF">2026-05-10T08:50:53Z</dcterms:modified>
</cp:coreProperties>
</file>
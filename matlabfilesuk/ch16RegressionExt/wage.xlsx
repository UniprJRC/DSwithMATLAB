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oks\DataScienceWithMatlab\EserciziRiepilogoUK\ch16RegressionExt\"/>
    </mc:Choice>
  </mc:AlternateContent>
  <xr:revisionPtr revIDLastSave="0" documentId="13_ncr:1_{EC9BBCD3-6A0C-4D45-B5A9-10A67D624FA5}" xr6:coauthVersionLast="47" xr6:coauthVersionMax="47" xr10:uidLastSave="{00000000-0000-0000-0000-000000000000}"/>
  <bookViews>
    <workbookView xWindow="-96" yWindow="-96" windowWidth="23232" windowHeight="12432" xr2:uid="{B344E566-9328-49B5-B4F9-1DB1D7857899}"/>
  </bookViews>
  <sheets>
    <sheet name="data" sheetId="1" r:id="rId1"/>
  </sheets>
  <definedNames>
    <definedName name="X">data!$B$2:$D$53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 a="1"/>
  <c r="C133" i="1" s="1"/>
  <c r="D136" i="1" l="1"/>
  <c r="E136" i="1"/>
  <c r="C137" i="1"/>
  <c r="D135" i="1"/>
  <c r="C135" i="1"/>
  <c r="E134" i="1"/>
  <c r="E137" i="1"/>
  <c r="D134" i="1"/>
  <c r="D137" i="1"/>
  <c r="C136" i="1"/>
  <c r="E135" i="1"/>
  <c r="C134" i="1"/>
  <c r="E133" i="1"/>
  <c r="D133" i="1"/>
  <c r="E90" i="1" l="1"/>
  <c r="E79" i="1"/>
  <c r="E100" i="1"/>
  <c r="E107" i="1"/>
  <c r="E110" i="1"/>
  <c r="E129" i="1"/>
  <c r="E122" i="1"/>
  <c r="E97" i="1"/>
  <c r="E83" i="1"/>
  <c r="E119" i="1"/>
  <c r="E93" i="1"/>
  <c r="E98" i="1"/>
  <c r="E103" i="1"/>
  <c r="E126" i="1"/>
  <c r="E113" i="1"/>
  <c r="E99" i="1"/>
  <c r="E123" i="1"/>
  <c r="E127" i="1"/>
  <c r="E84" i="1"/>
  <c r="E94" i="1"/>
  <c r="E104" i="1"/>
  <c r="E114" i="1"/>
  <c r="E124" i="1"/>
  <c r="E85" i="1"/>
  <c r="E95" i="1"/>
  <c r="E105" i="1"/>
  <c r="E111" i="1"/>
  <c r="E121" i="1"/>
  <c r="E82" i="1"/>
  <c r="E92" i="1"/>
  <c r="E102" i="1"/>
  <c r="E112" i="1"/>
  <c r="E115" i="1"/>
  <c r="E125" i="1"/>
  <c r="E78" i="1"/>
  <c r="E106" i="1"/>
  <c r="E128" i="1"/>
  <c r="E86" i="1"/>
  <c r="E108" i="1"/>
  <c r="E87" i="1"/>
  <c r="E109" i="1"/>
  <c r="E88" i="1"/>
  <c r="E116" i="1"/>
  <c r="E96" i="1"/>
  <c r="E89" i="1"/>
  <c r="E117" i="1"/>
  <c r="E118" i="1"/>
  <c r="E80" i="1"/>
  <c r="E120" i="1"/>
  <c r="E81" i="1"/>
  <c r="E91" i="1"/>
  <c r="E101" i="1"/>
  <c r="D142" i="1" l="1" a="1"/>
  <c r="D142" i="1" s="1"/>
  <c r="E130" i="1"/>
  <c r="E146" i="1" l="1"/>
  <c r="D146" i="1"/>
  <c r="D145" i="1"/>
  <c r="E144" i="1"/>
  <c r="D144" i="1"/>
  <c r="E143" i="1"/>
  <c r="D143" i="1"/>
  <c r="E145" i="1"/>
  <c r="E1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E78" authorId="0" shapeId="0" xr:uid="{99702CC1-019E-46DC-A330-B2E96C33C1DF}">
      <text>
        <r>
          <rPr>
            <b/>
            <sz val="11"/>
            <color indexed="8"/>
            <rFont val="Tahoma"/>
            <family val="2"/>
          </rPr>
          <t>=D78-E$133-D$133*B78-C$133*C78</t>
        </r>
      </text>
    </comment>
    <comment ref="E130" authorId="0" shapeId="0" xr:uid="{7D4C89C7-40AE-419A-A8A0-AE3F24CAE16D}">
      <text>
        <r>
          <rPr>
            <b/>
            <sz val="11"/>
            <color indexed="8"/>
            <rFont val="Tahoma"/>
            <family val="2"/>
          </rPr>
          <t>=SOMMA(E78:E129)</t>
        </r>
      </text>
    </comment>
    <comment ref="E137" authorId="0" shapeId="0" xr:uid="{02A484A6-9A12-4686-8709-BB654AEAA545}">
      <text>
        <r>
          <rPr>
            <b/>
            <sz val="11"/>
            <color indexed="8"/>
            <rFont val="Tahoma"/>
            <family val="2"/>
          </rPr>
          <t>=REGR.LIN(D78:D129;B78:C129;1;1)</t>
        </r>
      </text>
    </comment>
    <comment ref="D142" authorId="0" shapeId="0" xr:uid="{235A22C9-259D-4097-BD47-3381EAC2BCE4}">
      <text>
        <r>
          <rPr>
            <b/>
            <sz val="11"/>
            <color indexed="8"/>
            <rFont val="Tahoma"/>
            <family val="2"/>
          </rPr>
          <t>=REGR.LIN(E78:E129;K78:K129;1;1)</t>
        </r>
      </text>
    </comment>
  </commentList>
</comments>
</file>

<file path=xl/sharedStrings.xml><?xml version="1.0" encoding="utf-8"?>
<sst xmlns="http://schemas.openxmlformats.org/spreadsheetml/2006/main" count="12" uniqueCount="10">
  <si>
    <t>Salario</t>
  </si>
  <si>
    <t>Laurea</t>
  </si>
  <si>
    <t>Intercetta</t>
  </si>
  <si>
    <t>Regressione sulle due serie dei residui</t>
  </si>
  <si>
    <t>Residui della regressione</t>
  </si>
  <si>
    <t>Genere</t>
  </si>
  <si>
    <t>Gender</t>
  </si>
  <si>
    <t>Wage</t>
  </si>
  <si>
    <t>Degree</t>
  </si>
  <si>
    <t>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</si>
</sst>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b/>
      <sz val="16"/>
      <color indexed="8"/>
      <name val="Arial"/>
      <family val="2"/>
    </font>
    <font>
      <b/>
      <sz val="11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2" xfId="0" applyFont="1" applyBorder="1"/>
    <xf numFmtId="0" fontId="0" fillId="0" borderId="0" xfId="0" applyAlignment="1">
      <alignment vertical="top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7E96-0CC4-45DE-8B56-0BEB5D650DFD}">
  <dimension ref="B1:E146"/>
  <sheetViews>
    <sheetView tabSelected="1" zoomScale="139" zoomScaleNormal="139" workbookViewId="0">
      <selection activeCell="H8" sqref="H8"/>
    </sheetView>
  </sheetViews>
  <sheetFormatPr defaultColWidth="8.83203125" defaultRowHeight="12.3" x14ac:dyDescent="0.4"/>
  <cols>
    <col min="2" max="2" width="7.5" customWidth="1"/>
    <col min="3" max="3" width="9.1640625" customWidth="1"/>
    <col min="4" max="4" width="7.5" customWidth="1"/>
    <col min="5" max="5" width="12.33203125" customWidth="1"/>
  </cols>
  <sheetData>
    <row r="1" spans="2:5" ht="26.25" customHeight="1" x14ac:dyDescent="0.4">
      <c r="B1" s="2" t="s">
        <v>6</v>
      </c>
      <c r="C1" s="2" t="s">
        <v>9</v>
      </c>
      <c r="D1" s="2" t="s">
        <v>8</v>
      </c>
      <c r="E1" s="2" t="s">
        <v>7</v>
      </c>
    </row>
    <row r="2" spans="2:5" x14ac:dyDescent="0.4">
      <c r="B2">
        <v>0</v>
      </c>
      <c r="C2">
        <v>25</v>
      </c>
      <c r="D2">
        <v>1</v>
      </c>
      <c r="E2">
        <v>36350</v>
      </c>
    </row>
    <row r="3" spans="2:5" x14ac:dyDescent="0.4">
      <c r="B3">
        <v>0</v>
      </c>
      <c r="C3">
        <v>13</v>
      </c>
      <c r="D3">
        <v>1</v>
      </c>
      <c r="E3">
        <v>35350</v>
      </c>
    </row>
    <row r="4" spans="2:5" x14ac:dyDescent="0.4">
      <c r="B4">
        <v>0</v>
      </c>
      <c r="C4">
        <v>10</v>
      </c>
      <c r="D4">
        <v>1</v>
      </c>
      <c r="E4">
        <v>28200</v>
      </c>
    </row>
    <row r="5" spans="2:5" x14ac:dyDescent="0.4">
      <c r="B5">
        <v>1</v>
      </c>
      <c r="C5">
        <v>7</v>
      </c>
      <c r="D5">
        <v>1</v>
      </c>
      <c r="E5">
        <v>26775</v>
      </c>
    </row>
    <row r="6" spans="2:5" x14ac:dyDescent="0.4">
      <c r="B6">
        <v>0</v>
      </c>
      <c r="C6">
        <v>19</v>
      </c>
      <c r="D6">
        <v>0</v>
      </c>
      <c r="E6">
        <v>33696</v>
      </c>
    </row>
    <row r="7" spans="2:5" x14ac:dyDescent="0.4">
      <c r="B7">
        <v>0</v>
      </c>
      <c r="C7">
        <v>16</v>
      </c>
      <c r="D7">
        <v>1</v>
      </c>
      <c r="E7">
        <v>28516</v>
      </c>
    </row>
    <row r="8" spans="2:5" x14ac:dyDescent="0.4">
      <c r="B8">
        <v>1</v>
      </c>
      <c r="C8">
        <v>0</v>
      </c>
      <c r="D8">
        <v>0</v>
      </c>
      <c r="E8">
        <v>24900</v>
      </c>
    </row>
    <row r="9" spans="2:5" x14ac:dyDescent="0.4">
      <c r="B9">
        <v>0</v>
      </c>
      <c r="C9">
        <v>16</v>
      </c>
      <c r="D9">
        <v>1</v>
      </c>
      <c r="E9">
        <v>31909</v>
      </c>
    </row>
    <row r="10" spans="2:5" x14ac:dyDescent="0.4">
      <c r="B10">
        <v>0</v>
      </c>
      <c r="C10">
        <v>13</v>
      </c>
      <c r="D10">
        <v>0</v>
      </c>
      <c r="E10">
        <v>31850</v>
      </c>
    </row>
    <row r="11" spans="2:5" x14ac:dyDescent="0.4">
      <c r="B11">
        <v>0</v>
      </c>
      <c r="C11">
        <v>13</v>
      </c>
      <c r="D11">
        <v>0</v>
      </c>
      <c r="E11">
        <v>32850</v>
      </c>
    </row>
    <row r="12" spans="2:5" x14ac:dyDescent="0.4">
      <c r="B12">
        <v>0</v>
      </c>
      <c r="C12">
        <v>12</v>
      </c>
      <c r="D12">
        <v>1</v>
      </c>
      <c r="E12">
        <v>27025</v>
      </c>
    </row>
    <row r="13" spans="2:5" x14ac:dyDescent="0.4">
      <c r="B13">
        <v>0</v>
      </c>
      <c r="C13">
        <v>15</v>
      </c>
      <c r="D13">
        <v>1</v>
      </c>
      <c r="E13">
        <v>24750</v>
      </c>
    </row>
    <row r="14" spans="2:5" x14ac:dyDescent="0.4">
      <c r="B14">
        <v>0</v>
      </c>
      <c r="C14">
        <v>9</v>
      </c>
      <c r="D14">
        <v>1</v>
      </c>
      <c r="E14">
        <v>28200</v>
      </c>
    </row>
    <row r="15" spans="2:5" x14ac:dyDescent="0.4">
      <c r="B15">
        <v>0</v>
      </c>
      <c r="C15">
        <v>9</v>
      </c>
      <c r="D15">
        <v>0</v>
      </c>
      <c r="E15">
        <v>23712</v>
      </c>
    </row>
    <row r="16" spans="2:5" x14ac:dyDescent="0.4">
      <c r="B16">
        <v>0</v>
      </c>
      <c r="C16">
        <v>9</v>
      </c>
      <c r="D16">
        <v>1</v>
      </c>
      <c r="E16">
        <v>25748</v>
      </c>
    </row>
    <row r="17" spans="2:5" x14ac:dyDescent="0.4">
      <c r="B17">
        <v>0</v>
      </c>
      <c r="C17">
        <v>7</v>
      </c>
      <c r="D17">
        <v>1</v>
      </c>
      <c r="E17">
        <v>29342</v>
      </c>
    </row>
    <row r="18" spans="2:5" x14ac:dyDescent="0.4">
      <c r="B18">
        <v>0</v>
      </c>
      <c r="C18">
        <v>13</v>
      </c>
      <c r="D18">
        <v>1</v>
      </c>
      <c r="E18">
        <v>31114</v>
      </c>
    </row>
    <row r="19" spans="2:5" x14ac:dyDescent="0.4">
      <c r="B19">
        <v>0</v>
      </c>
      <c r="C19">
        <v>11</v>
      </c>
      <c r="D19">
        <v>0</v>
      </c>
      <c r="E19">
        <v>24742</v>
      </c>
    </row>
    <row r="20" spans="2:5" x14ac:dyDescent="0.4">
      <c r="B20">
        <v>0</v>
      </c>
      <c r="C20">
        <v>10</v>
      </c>
      <c r="D20">
        <v>0</v>
      </c>
      <c r="E20">
        <v>22906</v>
      </c>
    </row>
    <row r="21" spans="2:5" x14ac:dyDescent="0.4">
      <c r="B21">
        <v>0</v>
      </c>
      <c r="C21">
        <v>6</v>
      </c>
      <c r="D21">
        <v>0</v>
      </c>
      <c r="E21">
        <v>24450</v>
      </c>
    </row>
    <row r="22" spans="2:5" x14ac:dyDescent="0.4">
      <c r="B22">
        <v>0</v>
      </c>
      <c r="C22">
        <v>16</v>
      </c>
      <c r="D22">
        <v>0</v>
      </c>
      <c r="E22">
        <v>19175</v>
      </c>
    </row>
    <row r="23" spans="2:5" ht="12.9" customHeight="1" x14ac:dyDescent="0.4">
      <c r="B23">
        <v>0</v>
      </c>
      <c r="C23">
        <v>8</v>
      </c>
      <c r="D23">
        <v>0</v>
      </c>
      <c r="E23">
        <v>20525</v>
      </c>
    </row>
    <row r="24" spans="2:5" x14ac:dyDescent="0.4">
      <c r="B24">
        <v>0</v>
      </c>
      <c r="C24">
        <v>7</v>
      </c>
      <c r="D24">
        <v>1</v>
      </c>
      <c r="E24">
        <v>27959</v>
      </c>
    </row>
    <row r="25" spans="2:5" x14ac:dyDescent="0.4">
      <c r="B25">
        <v>1</v>
      </c>
      <c r="C25">
        <v>8</v>
      </c>
      <c r="D25">
        <v>1</v>
      </c>
      <c r="E25">
        <v>38045</v>
      </c>
    </row>
    <row r="26" spans="2:5" x14ac:dyDescent="0.4">
      <c r="B26">
        <v>0</v>
      </c>
      <c r="C26">
        <v>9</v>
      </c>
      <c r="D26">
        <v>1</v>
      </c>
      <c r="E26">
        <v>24832</v>
      </c>
    </row>
    <row r="27" spans="2:5" x14ac:dyDescent="0.4">
      <c r="B27">
        <v>0</v>
      </c>
      <c r="C27">
        <v>5</v>
      </c>
      <c r="D27">
        <v>1</v>
      </c>
      <c r="E27">
        <v>25400</v>
      </c>
    </row>
    <row r="28" spans="2:5" x14ac:dyDescent="0.4">
      <c r="B28">
        <v>0</v>
      </c>
      <c r="C28">
        <v>11</v>
      </c>
      <c r="D28">
        <v>1</v>
      </c>
      <c r="E28">
        <v>24800</v>
      </c>
    </row>
    <row r="29" spans="2:5" x14ac:dyDescent="0.4">
      <c r="B29">
        <v>1</v>
      </c>
      <c r="C29">
        <v>5</v>
      </c>
      <c r="D29">
        <v>1</v>
      </c>
      <c r="E29">
        <v>25500</v>
      </c>
    </row>
    <row r="30" spans="2:5" ht="21.75" customHeight="1" x14ac:dyDescent="0.4">
      <c r="B30">
        <v>0</v>
      </c>
      <c r="C30">
        <v>3</v>
      </c>
      <c r="D30">
        <v>0</v>
      </c>
      <c r="E30">
        <v>26182</v>
      </c>
    </row>
    <row r="31" spans="2:5" x14ac:dyDescent="0.4">
      <c r="B31">
        <v>0</v>
      </c>
      <c r="C31">
        <v>3</v>
      </c>
      <c r="D31">
        <v>0</v>
      </c>
      <c r="E31">
        <v>23725</v>
      </c>
    </row>
    <row r="32" spans="2:5" x14ac:dyDescent="0.4">
      <c r="B32">
        <v>1</v>
      </c>
      <c r="C32">
        <v>10</v>
      </c>
      <c r="D32">
        <v>0</v>
      </c>
      <c r="E32">
        <v>21600</v>
      </c>
    </row>
    <row r="33" spans="2:5" x14ac:dyDescent="0.4">
      <c r="B33">
        <v>0</v>
      </c>
      <c r="C33">
        <v>11</v>
      </c>
      <c r="D33">
        <v>0</v>
      </c>
      <c r="E33">
        <v>23300</v>
      </c>
    </row>
    <row r="34" spans="2:5" x14ac:dyDescent="0.4">
      <c r="B34">
        <v>0</v>
      </c>
      <c r="C34">
        <v>9</v>
      </c>
      <c r="D34">
        <v>0</v>
      </c>
      <c r="E34">
        <v>23713</v>
      </c>
    </row>
    <row r="35" spans="2:5" x14ac:dyDescent="0.4">
      <c r="B35">
        <v>1</v>
      </c>
      <c r="C35">
        <v>4</v>
      </c>
      <c r="D35">
        <v>0</v>
      </c>
      <c r="E35">
        <v>20690</v>
      </c>
    </row>
    <row r="36" spans="2:5" x14ac:dyDescent="0.4">
      <c r="B36">
        <v>1</v>
      </c>
      <c r="C36">
        <v>6</v>
      </c>
      <c r="D36">
        <v>0</v>
      </c>
      <c r="E36">
        <v>22450</v>
      </c>
    </row>
    <row r="37" spans="2:5" x14ac:dyDescent="0.4">
      <c r="B37">
        <v>0</v>
      </c>
      <c r="C37">
        <v>1</v>
      </c>
      <c r="D37">
        <v>1</v>
      </c>
      <c r="E37">
        <v>20850</v>
      </c>
    </row>
    <row r="38" spans="2:5" x14ac:dyDescent="0.4">
      <c r="B38">
        <v>1</v>
      </c>
      <c r="C38">
        <v>8</v>
      </c>
      <c r="D38">
        <v>1</v>
      </c>
      <c r="E38">
        <v>18304</v>
      </c>
    </row>
    <row r="39" spans="2:5" x14ac:dyDescent="0.4">
      <c r="B39">
        <v>0</v>
      </c>
      <c r="C39">
        <v>4</v>
      </c>
      <c r="D39">
        <v>1</v>
      </c>
      <c r="E39">
        <v>17095</v>
      </c>
    </row>
    <row r="40" spans="2:5" x14ac:dyDescent="0.4">
      <c r="B40">
        <v>0</v>
      </c>
      <c r="C40">
        <v>4</v>
      </c>
      <c r="D40">
        <v>1</v>
      </c>
      <c r="E40">
        <v>16700</v>
      </c>
    </row>
    <row r="41" spans="2:5" x14ac:dyDescent="0.4">
      <c r="B41">
        <v>0</v>
      </c>
      <c r="C41">
        <v>4</v>
      </c>
      <c r="D41">
        <v>1</v>
      </c>
      <c r="E41">
        <v>17600</v>
      </c>
    </row>
    <row r="42" spans="2:5" x14ac:dyDescent="0.4">
      <c r="B42">
        <v>0</v>
      </c>
      <c r="C42">
        <v>3</v>
      </c>
      <c r="D42">
        <v>1</v>
      </c>
      <c r="E42">
        <v>18075</v>
      </c>
    </row>
    <row r="43" spans="2:5" x14ac:dyDescent="0.4">
      <c r="B43">
        <v>0</v>
      </c>
      <c r="C43">
        <v>3</v>
      </c>
      <c r="D43">
        <v>0</v>
      </c>
      <c r="E43">
        <v>18000</v>
      </c>
    </row>
    <row r="44" spans="2:5" x14ac:dyDescent="0.4">
      <c r="B44">
        <v>0</v>
      </c>
      <c r="C44">
        <v>0</v>
      </c>
      <c r="D44">
        <v>1</v>
      </c>
      <c r="E44">
        <v>20999</v>
      </c>
    </row>
    <row r="45" spans="2:5" x14ac:dyDescent="0.4">
      <c r="B45">
        <v>1</v>
      </c>
      <c r="C45">
        <v>3</v>
      </c>
      <c r="D45">
        <v>1</v>
      </c>
      <c r="E45">
        <v>17250</v>
      </c>
    </row>
    <row r="46" spans="2:5" x14ac:dyDescent="0.4">
      <c r="B46">
        <v>0</v>
      </c>
      <c r="C46">
        <v>2</v>
      </c>
      <c r="D46">
        <v>1</v>
      </c>
      <c r="E46">
        <v>16500</v>
      </c>
    </row>
    <row r="47" spans="2:5" ht="27" customHeight="1" x14ac:dyDescent="0.4">
      <c r="B47">
        <v>0</v>
      </c>
      <c r="C47">
        <v>2</v>
      </c>
      <c r="D47">
        <v>1</v>
      </c>
      <c r="E47">
        <v>16094</v>
      </c>
    </row>
    <row r="48" spans="2:5" x14ac:dyDescent="0.4">
      <c r="B48">
        <v>1</v>
      </c>
      <c r="C48">
        <v>2</v>
      </c>
      <c r="D48">
        <v>1</v>
      </c>
      <c r="E48">
        <v>16150</v>
      </c>
    </row>
    <row r="49" spans="2:5" x14ac:dyDescent="0.4">
      <c r="B49">
        <v>1</v>
      </c>
      <c r="C49">
        <v>2</v>
      </c>
      <c r="D49">
        <v>1</v>
      </c>
      <c r="E49">
        <v>15350</v>
      </c>
    </row>
    <row r="50" spans="2:5" x14ac:dyDescent="0.4">
      <c r="B50">
        <v>0</v>
      </c>
      <c r="C50">
        <v>1</v>
      </c>
      <c r="D50">
        <v>1</v>
      </c>
      <c r="E50">
        <v>16244</v>
      </c>
    </row>
    <row r="51" spans="2:5" x14ac:dyDescent="0.4">
      <c r="B51">
        <v>1</v>
      </c>
      <c r="C51">
        <v>1</v>
      </c>
      <c r="D51">
        <v>1</v>
      </c>
      <c r="E51">
        <v>16686</v>
      </c>
    </row>
    <row r="52" spans="2:5" x14ac:dyDescent="0.4">
      <c r="B52">
        <v>1</v>
      </c>
      <c r="C52">
        <v>1</v>
      </c>
      <c r="D52">
        <v>1</v>
      </c>
      <c r="E52">
        <v>15000</v>
      </c>
    </row>
    <row r="53" spans="2:5" x14ac:dyDescent="0.4">
      <c r="B53">
        <v>1</v>
      </c>
      <c r="C53">
        <v>0</v>
      </c>
      <c r="D53">
        <v>1</v>
      </c>
      <c r="E53">
        <v>20300</v>
      </c>
    </row>
    <row r="75" spans="2:5" ht="25.5" customHeight="1" x14ac:dyDescent="0.4">
      <c r="B75" s="11"/>
      <c r="C75" s="11"/>
      <c r="D75" s="11"/>
      <c r="E75" s="12"/>
    </row>
    <row r="77" spans="2:5" x14ac:dyDescent="0.4">
      <c r="B77" t="s">
        <v>5</v>
      </c>
      <c r="C77" t="s">
        <v>1</v>
      </c>
      <c r="D77" t="s">
        <v>0</v>
      </c>
      <c r="E77" t="s">
        <v>4</v>
      </c>
    </row>
    <row r="78" spans="2:5" x14ac:dyDescent="0.4">
      <c r="B78">
        <v>0</v>
      </c>
      <c r="C78">
        <v>1</v>
      </c>
      <c r="D78">
        <v>36350</v>
      </c>
      <c r="E78">
        <f>D78-E$133-D$133*B78-C$133*C78</f>
        <v>11882.539845758352</v>
      </c>
    </row>
    <row r="79" spans="2:5" x14ac:dyDescent="0.4">
      <c r="B79">
        <v>0</v>
      </c>
      <c r="C79">
        <v>1</v>
      </c>
      <c r="D79">
        <v>35350</v>
      </c>
      <c r="E79">
        <f t="shared" ref="E79:E109" si="0">D79-E$133-D$133*B79-C$133*C79</f>
        <v>10882.539845758352</v>
      </c>
    </row>
    <row r="80" spans="2:5" x14ac:dyDescent="0.4">
      <c r="B80">
        <v>0</v>
      </c>
      <c r="C80">
        <v>1</v>
      </c>
      <c r="D80">
        <v>28200</v>
      </c>
      <c r="E80">
        <f t="shared" si="0"/>
        <v>3732.5398457583533</v>
      </c>
    </row>
    <row r="81" spans="2:5" hidden="1" x14ac:dyDescent="0.4">
      <c r="B81">
        <v>1</v>
      </c>
      <c r="C81">
        <v>1</v>
      </c>
      <c r="D81">
        <v>26775</v>
      </c>
      <c r="E81">
        <f t="shared" si="0"/>
        <v>5595.7043701799494</v>
      </c>
    </row>
    <row r="82" spans="2:5" hidden="1" x14ac:dyDescent="0.4">
      <c r="B82">
        <v>0</v>
      </c>
      <c r="C82">
        <v>0</v>
      </c>
      <c r="D82">
        <v>33696</v>
      </c>
      <c r="E82">
        <f t="shared" si="0"/>
        <v>8606.0745501285346</v>
      </c>
    </row>
    <row r="83" spans="2:5" hidden="1" x14ac:dyDescent="0.4">
      <c r="B83">
        <v>0</v>
      </c>
      <c r="C83">
        <v>1</v>
      </c>
      <c r="D83">
        <v>28516</v>
      </c>
      <c r="E83">
        <f t="shared" si="0"/>
        <v>4048.5398457583533</v>
      </c>
    </row>
    <row r="84" spans="2:5" hidden="1" x14ac:dyDescent="0.4">
      <c r="B84">
        <v>1</v>
      </c>
      <c r="C84">
        <v>0</v>
      </c>
      <c r="D84">
        <v>24900</v>
      </c>
      <c r="E84">
        <f t="shared" si="0"/>
        <v>3098.2390745501302</v>
      </c>
    </row>
    <row r="85" spans="2:5" hidden="1" x14ac:dyDescent="0.4">
      <c r="B85">
        <v>0</v>
      </c>
      <c r="C85">
        <v>1</v>
      </c>
      <c r="D85">
        <v>31909</v>
      </c>
      <c r="E85">
        <f t="shared" si="0"/>
        <v>7441.5398457583533</v>
      </c>
    </row>
    <row r="86" spans="2:5" hidden="1" x14ac:dyDescent="0.4">
      <c r="B86">
        <v>0</v>
      </c>
      <c r="C86">
        <v>0</v>
      </c>
      <c r="D86">
        <v>31850</v>
      </c>
      <c r="E86">
        <f t="shared" si="0"/>
        <v>6760.0745501285346</v>
      </c>
    </row>
    <row r="87" spans="2:5" hidden="1" x14ac:dyDescent="0.4">
      <c r="B87">
        <v>0</v>
      </c>
      <c r="C87">
        <v>0</v>
      </c>
      <c r="D87">
        <v>32850</v>
      </c>
      <c r="E87">
        <f t="shared" si="0"/>
        <v>7760.0745501285346</v>
      </c>
    </row>
    <row r="88" spans="2:5" hidden="1" x14ac:dyDescent="0.4">
      <c r="B88">
        <v>0</v>
      </c>
      <c r="C88">
        <v>1</v>
      </c>
      <c r="D88">
        <v>27025</v>
      </c>
      <c r="E88">
        <f t="shared" si="0"/>
        <v>2557.5398457583533</v>
      </c>
    </row>
    <row r="89" spans="2:5" hidden="1" x14ac:dyDescent="0.4">
      <c r="B89">
        <v>0</v>
      </c>
      <c r="C89">
        <v>1</v>
      </c>
      <c r="D89">
        <v>24750</v>
      </c>
      <c r="E89">
        <f t="shared" si="0"/>
        <v>282.53984575835318</v>
      </c>
    </row>
    <row r="90" spans="2:5" hidden="1" x14ac:dyDescent="0.4">
      <c r="B90">
        <v>0</v>
      </c>
      <c r="C90">
        <v>1</v>
      </c>
      <c r="D90">
        <v>28200</v>
      </c>
      <c r="E90">
        <f t="shared" si="0"/>
        <v>3732.5398457583533</v>
      </c>
    </row>
    <row r="91" spans="2:5" hidden="1" x14ac:dyDescent="0.4">
      <c r="B91">
        <v>0</v>
      </c>
      <c r="C91">
        <v>0</v>
      </c>
      <c r="D91">
        <v>23712</v>
      </c>
      <c r="E91">
        <f t="shared" si="0"/>
        <v>-1377.9254498714654</v>
      </c>
    </row>
    <row r="92" spans="2:5" hidden="1" x14ac:dyDescent="0.4">
      <c r="B92">
        <v>0</v>
      </c>
      <c r="C92">
        <v>1</v>
      </c>
      <c r="D92">
        <v>25748</v>
      </c>
      <c r="E92">
        <f t="shared" si="0"/>
        <v>1280.5398457583533</v>
      </c>
    </row>
    <row r="93" spans="2:5" hidden="1" x14ac:dyDescent="0.4">
      <c r="B93">
        <v>0</v>
      </c>
      <c r="C93">
        <v>1</v>
      </c>
      <c r="D93">
        <v>29342</v>
      </c>
      <c r="E93">
        <f t="shared" si="0"/>
        <v>4874.5398457583533</v>
      </c>
    </row>
    <row r="94" spans="2:5" hidden="1" x14ac:dyDescent="0.4">
      <c r="B94">
        <v>0</v>
      </c>
      <c r="C94">
        <v>1</v>
      </c>
      <c r="D94">
        <v>31114</v>
      </c>
      <c r="E94">
        <f t="shared" si="0"/>
        <v>6646.5398457583533</v>
      </c>
    </row>
    <row r="95" spans="2:5" hidden="1" x14ac:dyDescent="0.4">
      <c r="B95">
        <v>0</v>
      </c>
      <c r="C95">
        <v>0</v>
      </c>
      <c r="D95">
        <v>24742</v>
      </c>
      <c r="E95">
        <f t="shared" si="0"/>
        <v>-347.92544987146539</v>
      </c>
    </row>
    <row r="96" spans="2:5" hidden="1" x14ac:dyDescent="0.4">
      <c r="B96">
        <v>0</v>
      </c>
      <c r="C96">
        <v>0</v>
      </c>
      <c r="D96">
        <v>22906</v>
      </c>
      <c r="E96">
        <f t="shared" si="0"/>
        <v>-2183.9254498714654</v>
      </c>
    </row>
    <row r="97" spans="2:5" hidden="1" x14ac:dyDescent="0.4">
      <c r="B97">
        <v>0</v>
      </c>
      <c r="C97">
        <v>0</v>
      </c>
      <c r="D97">
        <v>24450</v>
      </c>
      <c r="E97">
        <f t="shared" si="0"/>
        <v>-639.92544987146539</v>
      </c>
    </row>
    <row r="98" spans="2:5" hidden="1" x14ac:dyDescent="0.4">
      <c r="B98">
        <v>0</v>
      </c>
      <c r="C98">
        <v>0</v>
      </c>
      <c r="D98">
        <v>19175</v>
      </c>
      <c r="E98">
        <f t="shared" si="0"/>
        <v>-5914.9254498714654</v>
      </c>
    </row>
    <row r="99" spans="2:5" hidden="1" x14ac:dyDescent="0.4">
      <c r="B99">
        <v>0</v>
      </c>
      <c r="C99">
        <v>0</v>
      </c>
      <c r="D99">
        <v>20525</v>
      </c>
      <c r="E99">
        <f t="shared" si="0"/>
        <v>-4564.9254498714654</v>
      </c>
    </row>
    <row r="100" spans="2:5" hidden="1" x14ac:dyDescent="0.4">
      <c r="B100">
        <v>0</v>
      </c>
      <c r="C100">
        <v>1</v>
      </c>
      <c r="D100">
        <v>27959</v>
      </c>
      <c r="E100">
        <f t="shared" si="0"/>
        <v>3491.5398457583533</v>
      </c>
    </row>
    <row r="101" spans="2:5" hidden="1" x14ac:dyDescent="0.4">
      <c r="B101">
        <v>1</v>
      </c>
      <c r="C101">
        <v>1</v>
      </c>
      <c r="D101">
        <v>38045</v>
      </c>
      <c r="E101">
        <f t="shared" si="0"/>
        <v>16865.704370179948</v>
      </c>
    </row>
    <row r="102" spans="2:5" hidden="1" x14ac:dyDescent="0.4">
      <c r="B102">
        <v>0</v>
      </c>
      <c r="C102">
        <v>1</v>
      </c>
      <c r="D102">
        <v>24832</v>
      </c>
      <c r="E102">
        <f t="shared" si="0"/>
        <v>364.53984575835318</v>
      </c>
    </row>
    <row r="103" spans="2:5" hidden="1" x14ac:dyDescent="0.4">
      <c r="B103">
        <v>0</v>
      </c>
      <c r="C103">
        <v>1</v>
      </c>
      <c r="D103">
        <v>25400</v>
      </c>
      <c r="E103">
        <f t="shared" si="0"/>
        <v>932.53984575835318</v>
      </c>
    </row>
    <row r="104" spans="2:5" hidden="1" x14ac:dyDescent="0.4">
      <c r="B104">
        <v>0</v>
      </c>
      <c r="C104">
        <v>1</v>
      </c>
      <c r="D104">
        <v>24800</v>
      </c>
      <c r="E104">
        <f t="shared" si="0"/>
        <v>332.53984575835318</v>
      </c>
    </row>
    <row r="105" spans="2:5" hidden="1" x14ac:dyDescent="0.4">
      <c r="B105">
        <v>1</v>
      </c>
      <c r="C105">
        <v>1</v>
      </c>
      <c r="D105">
        <v>25500</v>
      </c>
      <c r="E105">
        <f t="shared" si="0"/>
        <v>4320.7043701799485</v>
      </c>
    </row>
    <row r="106" spans="2:5" hidden="1" x14ac:dyDescent="0.4">
      <c r="B106">
        <v>0</v>
      </c>
      <c r="C106">
        <v>0</v>
      </c>
      <c r="D106">
        <v>26182</v>
      </c>
      <c r="E106">
        <f t="shared" si="0"/>
        <v>1092.0745501285346</v>
      </c>
    </row>
    <row r="107" spans="2:5" hidden="1" x14ac:dyDescent="0.4">
      <c r="B107">
        <v>0</v>
      </c>
      <c r="C107">
        <v>0</v>
      </c>
      <c r="D107">
        <v>23725</v>
      </c>
      <c r="E107">
        <f t="shared" si="0"/>
        <v>-1364.9254498714654</v>
      </c>
    </row>
    <row r="108" spans="2:5" hidden="1" x14ac:dyDescent="0.4">
      <c r="B108">
        <v>1</v>
      </c>
      <c r="C108">
        <v>0</v>
      </c>
      <c r="D108">
        <v>21600</v>
      </c>
      <c r="E108">
        <f t="shared" si="0"/>
        <v>-201.76092544986977</v>
      </c>
    </row>
    <row r="109" spans="2:5" hidden="1" x14ac:dyDescent="0.4">
      <c r="B109">
        <v>0</v>
      </c>
      <c r="C109">
        <v>0</v>
      </c>
      <c r="D109">
        <v>23300</v>
      </c>
      <c r="E109">
        <f t="shared" si="0"/>
        <v>-1789.9254498714654</v>
      </c>
    </row>
    <row r="110" spans="2:5" hidden="1" x14ac:dyDescent="0.4">
      <c r="B110">
        <v>0</v>
      </c>
      <c r="C110">
        <v>0</v>
      </c>
      <c r="D110">
        <v>23713</v>
      </c>
      <c r="E110">
        <f t="shared" ref="E110:E129" si="1">D110-E$133-D$133*B110-C$133*C110</f>
        <v>-1376.9254498714654</v>
      </c>
    </row>
    <row r="111" spans="2:5" hidden="1" x14ac:dyDescent="0.4">
      <c r="B111">
        <v>1</v>
      </c>
      <c r="C111">
        <v>0</v>
      </c>
      <c r="D111">
        <v>20690</v>
      </c>
      <c r="E111">
        <f t="shared" si="1"/>
        <v>-1111.7609254498698</v>
      </c>
    </row>
    <row r="112" spans="2:5" hidden="1" x14ac:dyDescent="0.4">
      <c r="B112">
        <v>1</v>
      </c>
      <c r="C112">
        <v>0</v>
      </c>
      <c r="D112">
        <v>22450</v>
      </c>
      <c r="E112">
        <f t="shared" si="1"/>
        <v>648.23907455013023</v>
      </c>
    </row>
    <row r="113" spans="2:5" hidden="1" x14ac:dyDescent="0.4">
      <c r="B113">
        <v>0</v>
      </c>
      <c r="C113">
        <v>1</v>
      </c>
      <c r="D113">
        <v>20850</v>
      </c>
      <c r="E113">
        <f t="shared" si="1"/>
        <v>-3617.4601542416467</v>
      </c>
    </row>
    <row r="114" spans="2:5" hidden="1" x14ac:dyDescent="0.4">
      <c r="B114">
        <v>1</v>
      </c>
      <c r="C114">
        <v>1</v>
      </c>
      <c r="D114">
        <v>18304</v>
      </c>
      <c r="E114">
        <f t="shared" si="1"/>
        <v>-2875.2956298200511</v>
      </c>
    </row>
    <row r="115" spans="2:5" hidden="1" x14ac:dyDescent="0.4">
      <c r="B115">
        <v>0</v>
      </c>
      <c r="C115">
        <v>1</v>
      </c>
      <c r="D115">
        <v>17095</v>
      </c>
      <c r="E115">
        <f t="shared" si="1"/>
        <v>-7372.4601542416467</v>
      </c>
    </row>
    <row r="116" spans="2:5" hidden="1" x14ac:dyDescent="0.4">
      <c r="B116">
        <v>0</v>
      </c>
      <c r="C116">
        <v>1</v>
      </c>
      <c r="D116">
        <v>16700</v>
      </c>
      <c r="E116">
        <f t="shared" si="1"/>
        <v>-7767.4601542416467</v>
      </c>
    </row>
    <row r="117" spans="2:5" hidden="1" x14ac:dyDescent="0.4">
      <c r="B117">
        <v>0</v>
      </c>
      <c r="C117">
        <v>1</v>
      </c>
      <c r="D117">
        <v>17600</v>
      </c>
      <c r="E117">
        <f t="shared" si="1"/>
        <v>-6867.4601542416467</v>
      </c>
    </row>
    <row r="118" spans="2:5" hidden="1" x14ac:dyDescent="0.4">
      <c r="B118">
        <v>0</v>
      </c>
      <c r="C118">
        <v>1</v>
      </c>
      <c r="D118">
        <v>18075</v>
      </c>
      <c r="E118">
        <f t="shared" si="1"/>
        <v>-6392.4601542416467</v>
      </c>
    </row>
    <row r="119" spans="2:5" hidden="1" x14ac:dyDescent="0.4">
      <c r="B119">
        <v>0</v>
      </c>
      <c r="C119">
        <v>0</v>
      </c>
      <c r="D119">
        <v>18000</v>
      </c>
      <c r="E119">
        <f t="shared" si="1"/>
        <v>-7089.9254498714654</v>
      </c>
    </row>
    <row r="120" spans="2:5" hidden="1" x14ac:dyDescent="0.4">
      <c r="B120">
        <v>0</v>
      </c>
      <c r="C120">
        <v>1</v>
      </c>
      <c r="D120">
        <v>20999</v>
      </c>
      <c r="E120">
        <f t="shared" si="1"/>
        <v>-3468.4601542416467</v>
      </c>
    </row>
    <row r="121" spans="2:5" hidden="1" x14ac:dyDescent="0.4">
      <c r="B121">
        <v>1</v>
      </c>
      <c r="C121">
        <v>1</v>
      </c>
      <c r="D121">
        <v>17250</v>
      </c>
      <c r="E121">
        <f t="shared" si="1"/>
        <v>-3929.2956298200506</v>
      </c>
    </row>
    <row r="122" spans="2:5" hidden="1" x14ac:dyDescent="0.4">
      <c r="B122">
        <v>0</v>
      </c>
      <c r="C122">
        <v>1</v>
      </c>
      <c r="D122">
        <v>16500</v>
      </c>
      <c r="E122">
        <f t="shared" si="1"/>
        <v>-7967.4601542416467</v>
      </c>
    </row>
    <row r="123" spans="2:5" hidden="1" x14ac:dyDescent="0.4">
      <c r="B123">
        <v>0</v>
      </c>
      <c r="C123">
        <v>1</v>
      </c>
      <c r="D123">
        <v>16094</v>
      </c>
      <c r="E123">
        <f t="shared" si="1"/>
        <v>-8373.4601542416476</v>
      </c>
    </row>
    <row r="124" spans="2:5" hidden="1" x14ac:dyDescent="0.4">
      <c r="B124">
        <v>1</v>
      </c>
      <c r="C124">
        <v>1</v>
      </c>
      <c r="D124">
        <v>16150</v>
      </c>
      <c r="E124">
        <f t="shared" si="1"/>
        <v>-5029.2956298200506</v>
      </c>
    </row>
    <row r="125" spans="2:5" x14ac:dyDescent="0.4">
      <c r="B125">
        <v>1</v>
      </c>
      <c r="C125">
        <v>1</v>
      </c>
      <c r="D125">
        <v>15350</v>
      </c>
      <c r="E125">
        <f t="shared" si="1"/>
        <v>-5829.2956298200506</v>
      </c>
    </row>
    <row r="126" spans="2:5" x14ac:dyDescent="0.4">
      <c r="B126">
        <v>0</v>
      </c>
      <c r="C126">
        <v>1</v>
      </c>
      <c r="D126">
        <v>16244</v>
      </c>
      <c r="E126">
        <f t="shared" si="1"/>
        <v>-8223.4601542416476</v>
      </c>
    </row>
    <row r="127" spans="2:5" x14ac:dyDescent="0.4">
      <c r="B127">
        <v>1</v>
      </c>
      <c r="C127">
        <v>1</v>
      </c>
      <c r="D127">
        <v>16686</v>
      </c>
      <c r="E127">
        <f t="shared" si="1"/>
        <v>-4493.2956298200506</v>
      </c>
    </row>
    <row r="128" spans="2:5" x14ac:dyDescent="0.4">
      <c r="B128">
        <v>1</v>
      </c>
      <c r="C128">
        <v>1</v>
      </c>
      <c r="D128">
        <v>15000</v>
      </c>
      <c r="E128">
        <f t="shared" si="1"/>
        <v>-6179.2956298200506</v>
      </c>
    </row>
    <row r="129" spans="2:5" x14ac:dyDescent="0.4">
      <c r="B129">
        <v>1</v>
      </c>
      <c r="C129">
        <v>1</v>
      </c>
      <c r="D129">
        <v>20300</v>
      </c>
      <c r="E129">
        <f t="shared" si="1"/>
        <v>-879.2956298200512</v>
      </c>
    </row>
    <row r="130" spans="2:5" x14ac:dyDescent="0.4">
      <c r="E130">
        <f>SUM(E78:E129)</f>
        <v>-3.2969182939268649E-12</v>
      </c>
    </row>
    <row r="131" spans="2:5" ht="12.6" thickBot="1" x14ac:dyDescent="0.45"/>
    <row r="132" spans="2:5" x14ac:dyDescent="0.4">
      <c r="C132" s="3" t="s">
        <v>1</v>
      </c>
      <c r="D132" s="4" t="s">
        <v>5</v>
      </c>
      <c r="E132" s="5" t="s">
        <v>2</v>
      </c>
    </row>
    <row r="133" spans="2:5" x14ac:dyDescent="0.4">
      <c r="C133" s="6">
        <f t="array" ref="C133:E137">LINEST(D78:D129,B78:C129,1,1)</f>
        <v>-622.46529562981857</v>
      </c>
      <c r="D133">
        <v>-3288.1645244215956</v>
      </c>
      <c r="E133" s="7">
        <v>25089.925449871465</v>
      </c>
    </row>
    <row r="134" spans="2:5" x14ac:dyDescent="0.4">
      <c r="C134" s="6">
        <v>1705.3070481425179</v>
      </c>
      <c r="D134">
        <v>1829.0369618763564</v>
      </c>
      <c r="E134" s="7">
        <v>1433.6419265238876</v>
      </c>
    </row>
    <row r="135" spans="2:5" x14ac:dyDescent="0.4">
      <c r="C135" s="6">
        <v>6.6437398420188518E-2</v>
      </c>
      <c r="D135">
        <v>5832.8601373943357</v>
      </c>
      <c r="E135" s="7" t="e">
        <v>#N/A</v>
      </c>
    </row>
    <row r="136" spans="2:5" x14ac:dyDescent="0.4">
      <c r="C136" s="6">
        <v>1.7435534141364846</v>
      </c>
      <c r="D136">
        <v>49</v>
      </c>
      <c r="E136" s="7" t="e">
        <v>#N/A</v>
      </c>
    </row>
    <row r="137" spans="2:5" ht="12.6" thickBot="1" x14ac:dyDescent="0.45">
      <c r="C137" s="8">
        <v>118639246.03144097</v>
      </c>
      <c r="D137" s="1">
        <v>1667090611.7377899</v>
      </c>
      <c r="E137" s="9" t="e">
        <v>#N/A</v>
      </c>
    </row>
    <row r="141" spans="2:5" ht="12.6" thickBot="1" x14ac:dyDescent="0.45">
      <c r="D141" t="s">
        <v>3</v>
      </c>
    </row>
    <row r="142" spans="2:5" ht="20.100000000000001" x14ac:dyDescent="0.7">
      <c r="D142" s="10" t="e">
        <f t="array" ref="D142:E146">LINEST(E78:E129,#REF!,1,1)</f>
        <v>#REF!</v>
      </c>
      <c r="E142" s="5" t="e">
        <v>#REF!</v>
      </c>
    </row>
    <row r="143" spans="2:5" x14ac:dyDescent="0.4">
      <c r="D143" s="6" t="e">
        <v>#REF!</v>
      </c>
      <c r="E143" s="7" t="e">
        <v>#REF!</v>
      </c>
    </row>
    <row r="144" spans="2:5" x14ac:dyDescent="0.4">
      <c r="D144" s="6" t="e">
        <v>#REF!</v>
      </c>
      <c r="E144" s="7" t="e">
        <v>#REF!</v>
      </c>
    </row>
    <row r="145" spans="4:5" x14ac:dyDescent="0.4">
      <c r="D145" s="6" t="e">
        <v>#REF!</v>
      </c>
      <c r="E145" s="7" t="e">
        <v>#REF!</v>
      </c>
    </row>
    <row r="146" spans="4:5" ht="12.6" thickBot="1" x14ac:dyDescent="0.45">
      <c r="D146" s="8" t="e">
        <v>#REF!</v>
      </c>
      <c r="E146" s="9" t="e">
        <v>#REF!</v>
      </c>
    </row>
  </sheetData>
  <mergeCells count="1">
    <mergeCell ref="B75:E75"/>
  </mergeCells>
  <phoneticPr fontId="2" type="noConversion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data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</dc:creator>
  <cp:lastModifiedBy>Marco RIANI</cp:lastModifiedBy>
  <cp:lastPrinted>2007-09-05T09:27:58Z</cp:lastPrinted>
  <dcterms:created xsi:type="dcterms:W3CDTF">2007-09-04T14:36:41Z</dcterms:created>
  <dcterms:modified xsi:type="dcterms:W3CDTF">2026-01-12T20:01:17Z</dcterms:modified>
</cp:coreProperties>
</file>
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6RegressionExt\"/>
    </mc:Choice>
  </mc:AlternateContent>
  <xr:revisionPtr revIDLastSave="0" documentId="13_ncr:9_{8190F307-9D7B-4497-9DD7-35B8A76276FE}" xr6:coauthVersionLast="47" xr6:coauthVersionMax="47" xr10:uidLastSave="{00000000-0000-0000-0000-000000000000}"/>
  <bookViews>
    <workbookView xWindow="-96" yWindow="-96" windowWidth="23232" windowHeight="12432" activeTab="2" xr2:uid="{32726882-920D-4B90-A67F-448D466464BC}"/>
  </bookViews>
  <sheets>
    <sheet name="First_par" sheetId="1" r:id="rId1"/>
    <sheet name="Second_par" sheetId="3" r:id="rId2"/>
    <sheet name="Sum_to_zero" sheetId="4" r:id="rId3"/>
    <sheet name="Testo_esercizio" sheetId="2" r:id="rId4"/>
  </sheets>
  <definedNames>
    <definedName name="x" localSheetId="1">Second_par!$C$26:$C$305</definedName>
    <definedName name="x" localSheetId="2">Sum_to_zero!$C$26:$C$277</definedName>
    <definedName name="x">First_par!$C$26:$C$277</definedName>
    <definedName name="Y" localSheetId="1">Second_par!$E$6:$E$305</definedName>
    <definedName name="Y" localSheetId="2">Sum_to_zero!$D$6:$D$277</definedName>
    <definedName name="Y">First_par!$D$6:$D$277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4" l="1" a="1"/>
  <c r="C33" i="4" s="1"/>
  <c r="K37" i="4" s="1"/>
  <c r="C48" i="3" a="1"/>
  <c r="C49" i="3" s="1"/>
  <c r="D48" i="3"/>
  <c r="D50" i="3"/>
  <c r="D52" i="3"/>
  <c r="I55" i="3"/>
  <c r="M97" i="3" a="1"/>
  <c r="P99" i="3" s="1"/>
  <c r="N104" i="3" s="1"/>
  <c r="C33" i="1" a="1"/>
  <c r="G37" i="1" s="1"/>
  <c r="C33" i="3" a="1"/>
  <c r="C35" i="3" s="1"/>
  <c r="C33" i="3"/>
  <c r="J37" i="3"/>
  <c r="L47" i="1"/>
  <c r="G33" i="3"/>
  <c r="J33" i="3"/>
  <c r="L43" i="1"/>
  <c r="G37" i="3"/>
  <c r="E37" i="3"/>
  <c r="C37" i="3"/>
  <c r="F36" i="3"/>
  <c r="D36" i="3"/>
  <c r="L56" i="3"/>
  <c r="G35" i="3"/>
  <c r="E35" i="3"/>
  <c r="F33" i="3"/>
  <c r="J34" i="3"/>
  <c r="J8" i="3" s="1"/>
  <c r="J19" i="3"/>
  <c r="J11" i="3"/>
  <c r="J6" i="3"/>
  <c r="J18" i="3"/>
  <c r="P97" i="3" l="1"/>
  <c r="N99" i="3"/>
  <c r="Q98" i="3"/>
  <c r="Q99" i="3"/>
  <c r="O104" i="3" s="1"/>
  <c r="M98" i="3"/>
  <c r="E33" i="1"/>
  <c r="K35" i="1" s="1"/>
  <c r="J45" i="1" s="1"/>
  <c r="J50" i="1" s="1"/>
  <c r="M101" i="3"/>
  <c r="F33" i="1"/>
  <c r="K34" i="1" s="1"/>
  <c r="D33" i="4"/>
  <c r="K36" i="4" s="1"/>
  <c r="F33" i="4"/>
  <c r="K34" i="4" s="1"/>
  <c r="D34" i="4"/>
  <c r="G34" i="1"/>
  <c r="C48" i="3"/>
  <c r="G36" i="4"/>
  <c r="E37" i="4"/>
  <c r="D36" i="4"/>
  <c r="E36" i="1"/>
  <c r="J23" i="3"/>
  <c r="G34" i="3"/>
  <c r="D33" i="3"/>
  <c r="J36" i="3" s="1"/>
  <c r="L46" i="1" s="1"/>
  <c r="C37" i="4"/>
  <c r="F36" i="4"/>
  <c r="G36" i="1"/>
  <c r="J15" i="3"/>
  <c r="D35" i="3"/>
  <c r="D37" i="4"/>
  <c r="D37" i="1"/>
  <c r="I18" i="3"/>
  <c r="L18" i="3" s="1"/>
  <c r="J7" i="3"/>
  <c r="F35" i="3"/>
  <c r="E36" i="4"/>
  <c r="D35" i="4"/>
  <c r="F35" i="1"/>
  <c r="C34" i="3"/>
  <c r="G37" i="4"/>
  <c r="F35" i="4"/>
  <c r="C36" i="1"/>
  <c r="E34" i="3"/>
  <c r="F37" i="4"/>
  <c r="F37" i="1"/>
  <c r="J22" i="3"/>
  <c r="C36" i="3"/>
  <c r="C36" i="4"/>
  <c r="P100" i="3"/>
  <c r="N105" i="3" s="1"/>
  <c r="K9" i="3"/>
  <c r="D35" i="1"/>
  <c r="D49" i="3"/>
  <c r="J25" i="3"/>
  <c r="K13" i="3"/>
  <c r="J14" i="3"/>
  <c r="E36" i="3"/>
  <c r="D33" i="1"/>
  <c r="K36" i="1" s="1"/>
  <c r="J46" i="1" s="1"/>
  <c r="J51" i="1" s="1"/>
  <c r="G35" i="4"/>
  <c r="E35" i="4"/>
  <c r="O99" i="3"/>
  <c r="M104" i="3" s="1"/>
  <c r="M111" i="3" s="1" a="1"/>
  <c r="D51" i="3"/>
  <c r="J21" i="3"/>
  <c r="G36" i="3"/>
  <c r="D34" i="1"/>
  <c r="J17" i="3"/>
  <c r="C50" i="3"/>
  <c r="C35" i="4"/>
  <c r="G34" i="4"/>
  <c r="C34" i="1"/>
  <c r="E34" i="1"/>
  <c r="C52" i="3"/>
  <c r="D37" i="3"/>
  <c r="I56" i="3" s="1"/>
  <c r="N101" i="3"/>
  <c r="E34" i="4"/>
  <c r="F34" i="1"/>
  <c r="J13" i="3"/>
  <c r="C51" i="3"/>
  <c r="P101" i="3"/>
  <c r="N106" i="3" s="1"/>
  <c r="C35" i="1"/>
  <c r="J9" i="3"/>
  <c r="E35" i="1"/>
  <c r="L44" i="1"/>
  <c r="K11" i="3"/>
  <c r="I25" i="3"/>
  <c r="L25" i="3" s="1"/>
  <c r="O97" i="3"/>
  <c r="F37" i="3"/>
  <c r="C34" i="4"/>
  <c r="O98" i="3"/>
  <c r="C33" i="1"/>
  <c r="K37" i="1" s="1"/>
  <c r="J47" i="1" s="1"/>
  <c r="M97" i="3"/>
  <c r="O101" i="3"/>
  <c r="M106" i="3" s="1"/>
  <c r="Q101" i="3"/>
  <c r="O106" i="3" s="1"/>
  <c r="G35" i="1"/>
  <c r="J24" i="3"/>
  <c r="Q97" i="3"/>
  <c r="Q100" i="3"/>
  <c r="O105" i="3" s="1"/>
  <c r="G33" i="4"/>
  <c r="K33" i="4" s="1"/>
  <c r="D36" i="1"/>
  <c r="J20" i="3"/>
  <c r="K12" i="3"/>
  <c r="N98" i="3"/>
  <c r="F36" i="1"/>
  <c r="J16" i="3"/>
  <c r="P98" i="3"/>
  <c r="E33" i="3"/>
  <c r="J35" i="3" s="1"/>
  <c r="I23" i="3" s="1"/>
  <c r="L23" i="3" s="1"/>
  <c r="O100" i="3"/>
  <c r="M105" i="3" s="1"/>
  <c r="C37" i="1"/>
  <c r="J12" i="3"/>
  <c r="I17" i="3"/>
  <c r="L17" i="3" s="1"/>
  <c r="M99" i="3"/>
  <c r="D34" i="3"/>
  <c r="M100" i="3"/>
  <c r="E33" i="4"/>
  <c r="K35" i="4" s="1"/>
  <c r="L35" i="4" s="1"/>
  <c r="K17" i="3"/>
  <c r="J10" i="3"/>
  <c r="E37" i="1"/>
  <c r="F34" i="3"/>
  <c r="N100" i="3"/>
  <c r="N97" i="3"/>
  <c r="G33" i="1"/>
  <c r="F34" i="4"/>
  <c r="L37" i="4" l="1"/>
  <c r="I22" i="3"/>
  <c r="L22" i="3" s="1"/>
  <c r="K15" i="1"/>
  <c r="K16" i="1"/>
  <c r="K14" i="1"/>
  <c r="K10" i="1"/>
  <c r="K23" i="1"/>
  <c r="K11" i="1"/>
  <c r="K7" i="1"/>
  <c r="K24" i="1"/>
  <c r="K6" i="1"/>
  <c r="K8" i="1"/>
  <c r="K25" i="1"/>
  <c r="K17" i="1"/>
  <c r="K9" i="1"/>
  <c r="K20" i="1"/>
  <c r="K12" i="1"/>
  <c r="K18" i="1"/>
  <c r="J44" i="1"/>
  <c r="J49" i="1" s="1"/>
  <c r="K21" i="1"/>
  <c r="K13" i="1"/>
  <c r="K22" i="1"/>
  <c r="K19" i="1"/>
  <c r="I24" i="3"/>
  <c r="L24" i="3" s="1"/>
  <c r="K10" i="3"/>
  <c r="I15" i="3"/>
  <c r="L15" i="3" s="1"/>
  <c r="O112" i="3"/>
  <c r="N112" i="3"/>
  <c r="N111" i="3"/>
  <c r="M111" i="3"/>
  <c r="O113" i="3"/>
  <c r="O111" i="3"/>
  <c r="M113" i="3"/>
  <c r="M112" i="3"/>
  <c r="N113" i="3"/>
  <c r="K16" i="3"/>
  <c r="K6" i="3"/>
  <c r="I10" i="3"/>
  <c r="L10" i="3" s="1"/>
  <c r="I6" i="3"/>
  <c r="L6" i="3" s="1"/>
  <c r="K19" i="3"/>
  <c r="K21" i="3"/>
  <c r="I19" i="3"/>
  <c r="L19" i="3" s="1"/>
  <c r="I14" i="3"/>
  <c r="L14" i="3" s="1"/>
  <c r="K18" i="3"/>
  <c r="L34" i="4"/>
  <c r="K38" i="4"/>
  <c r="K7" i="4" s="1"/>
  <c r="S104" i="3" a="1"/>
  <c r="K22" i="3"/>
  <c r="K23" i="3"/>
  <c r="K25" i="3"/>
  <c r="K8" i="3"/>
  <c r="K20" i="3"/>
  <c r="I9" i="3"/>
  <c r="L9" i="3" s="1"/>
  <c r="K14" i="3"/>
  <c r="L45" i="1"/>
  <c r="I8" i="3"/>
  <c r="L8" i="3" s="1"/>
  <c r="I7" i="3"/>
  <c r="L7" i="3" s="1"/>
  <c r="I12" i="3"/>
  <c r="L12" i="3" s="1"/>
  <c r="K7" i="3"/>
  <c r="K15" i="3"/>
  <c r="I16" i="3"/>
  <c r="L16" i="3" s="1"/>
  <c r="I11" i="3"/>
  <c r="L11" i="3" s="1"/>
  <c r="I25" i="4"/>
  <c r="N25" i="4" s="1"/>
  <c r="I12" i="4"/>
  <c r="N12" i="4" s="1"/>
  <c r="K8" i="4"/>
  <c r="I18" i="4"/>
  <c r="N18" i="4" s="1"/>
  <c r="I21" i="4"/>
  <c r="N21" i="4" s="1"/>
  <c r="I23" i="4"/>
  <c r="N23" i="4" s="1"/>
  <c r="I10" i="4"/>
  <c r="N10" i="4" s="1"/>
  <c r="I8" i="4"/>
  <c r="N8" i="4" s="1"/>
  <c r="I22" i="4"/>
  <c r="N22" i="4" s="1"/>
  <c r="I16" i="4"/>
  <c r="N16" i="4" s="1"/>
  <c r="I15" i="4"/>
  <c r="N15" i="4" s="1"/>
  <c r="K14" i="4"/>
  <c r="K16" i="4"/>
  <c r="I20" i="4"/>
  <c r="N20" i="4" s="1"/>
  <c r="I19" i="4"/>
  <c r="N19" i="4" s="1"/>
  <c r="I6" i="4"/>
  <c r="N6" i="4" s="1"/>
  <c r="K19" i="4"/>
  <c r="K23" i="4"/>
  <c r="I17" i="4"/>
  <c r="N17" i="4" s="1"/>
  <c r="K10" i="4"/>
  <c r="I7" i="4"/>
  <c r="N7" i="4" s="1"/>
  <c r="K18" i="4"/>
  <c r="I13" i="4"/>
  <c r="N13" i="4" s="1"/>
  <c r="K22" i="4"/>
  <c r="I9" i="4"/>
  <c r="N9" i="4" s="1"/>
  <c r="K21" i="4"/>
  <c r="K6" i="4"/>
  <c r="K9" i="4"/>
  <c r="I11" i="4"/>
  <c r="N11" i="4" s="1"/>
  <c r="I24" i="4"/>
  <c r="N24" i="4" s="1"/>
  <c r="I14" i="4"/>
  <c r="N14" i="4" s="1"/>
  <c r="O90" i="3" a="1"/>
  <c r="K24" i="3"/>
  <c r="O61" i="3"/>
  <c r="O63" i="3"/>
  <c r="L36" i="4"/>
  <c r="I20" i="3"/>
  <c r="L20" i="3" s="1"/>
  <c r="E58" i="1"/>
  <c r="E60" i="1" s="1"/>
  <c r="K33" i="1"/>
  <c r="I21" i="3"/>
  <c r="L21" i="3" s="1"/>
  <c r="I13" i="3"/>
  <c r="L13" i="3" s="1"/>
  <c r="N26" i="4" l="1"/>
  <c r="I11" i="1"/>
  <c r="L11" i="1" s="1"/>
  <c r="I20" i="1"/>
  <c r="L20" i="1" s="1"/>
  <c r="J10" i="1"/>
  <c r="J7" i="1"/>
  <c r="J15" i="1"/>
  <c r="J24" i="1"/>
  <c r="J23" i="1"/>
  <c r="J17" i="1"/>
  <c r="I18" i="1"/>
  <c r="L18" i="1" s="1"/>
  <c r="I22" i="1"/>
  <c r="L22" i="1" s="1"/>
  <c r="I13" i="1"/>
  <c r="L13" i="1" s="1"/>
  <c r="I15" i="1"/>
  <c r="L15" i="1" s="1"/>
  <c r="M15" i="1" s="1"/>
  <c r="I6" i="1"/>
  <c r="L6" i="1" s="1"/>
  <c r="J19" i="1"/>
  <c r="J25" i="1"/>
  <c r="J8" i="1"/>
  <c r="J16" i="1"/>
  <c r="I7" i="1"/>
  <c r="L7" i="1" s="1"/>
  <c r="M7" i="1" s="1"/>
  <c r="I17" i="1"/>
  <c r="L17" i="1" s="1"/>
  <c r="M17" i="1" s="1"/>
  <c r="J11" i="1"/>
  <c r="I19" i="1"/>
  <c r="L19" i="1" s="1"/>
  <c r="M19" i="1" s="1"/>
  <c r="I9" i="1"/>
  <c r="L9" i="1" s="1"/>
  <c r="M9" i="1" s="1"/>
  <c r="J13" i="1"/>
  <c r="I10" i="1"/>
  <c r="L10" i="1" s="1"/>
  <c r="M10" i="1" s="1"/>
  <c r="I21" i="1"/>
  <c r="L21" i="1" s="1"/>
  <c r="M21" i="1" s="1"/>
  <c r="I12" i="1"/>
  <c r="L12" i="1" s="1"/>
  <c r="M12" i="1" s="1"/>
  <c r="J9" i="1"/>
  <c r="I24" i="1"/>
  <c r="L24" i="1" s="1"/>
  <c r="J18" i="1"/>
  <c r="J12" i="1"/>
  <c r="I23" i="1"/>
  <c r="L23" i="1" s="1"/>
  <c r="M23" i="1" s="1"/>
  <c r="I25" i="1"/>
  <c r="L25" i="1" s="1"/>
  <c r="I16" i="1"/>
  <c r="L16" i="1" s="1"/>
  <c r="J21" i="1"/>
  <c r="J14" i="1"/>
  <c r="J22" i="1"/>
  <c r="J6" i="1"/>
  <c r="J20" i="1"/>
  <c r="I8" i="1"/>
  <c r="L8" i="1" s="1"/>
  <c r="J43" i="1"/>
  <c r="I14" i="1"/>
  <c r="L14" i="1" s="1"/>
  <c r="K11" i="4"/>
  <c r="K25" i="4"/>
  <c r="T106" i="3"/>
  <c r="S106" i="3"/>
  <c r="T104" i="3"/>
  <c r="U106" i="3"/>
  <c r="T105" i="3"/>
  <c r="S105" i="3"/>
  <c r="U104" i="3"/>
  <c r="S104" i="3"/>
  <c r="U105" i="3"/>
  <c r="L7" i="4"/>
  <c r="L22" i="4"/>
  <c r="M24" i="4"/>
  <c r="M7" i="4"/>
  <c r="M11" i="4"/>
  <c r="M13" i="4"/>
  <c r="M25" i="4"/>
  <c r="L9" i="4"/>
  <c r="M19" i="4"/>
  <c r="L11" i="4"/>
  <c r="L13" i="4"/>
  <c r="L15" i="4"/>
  <c r="L17" i="4"/>
  <c r="L23" i="4"/>
  <c r="M8" i="4"/>
  <c r="L24" i="4"/>
  <c r="L6" i="4"/>
  <c r="M21" i="4"/>
  <c r="L19" i="4"/>
  <c r="L21" i="4"/>
  <c r="L25" i="4"/>
  <c r="L20" i="4"/>
  <c r="L8" i="4"/>
  <c r="M10" i="4"/>
  <c r="M9" i="4"/>
  <c r="M23" i="4"/>
  <c r="L10" i="4"/>
  <c r="M12" i="4"/>
  <c r="L18" i="4"/>
  <c r="M20" i="4"/>
  <c r="M22" i="4"/>
  <c r="L12" i="4"/>
  <c r="M14" i="4"/>
  <c r="L14" i="4"/>
  <c r="M16" i="4"/>
  <c r="L16" i="4"/>
  <c r="M18" i="4"/>
  <c r="M6" i="4"/>
  <c r="M15" i="4"/>
  <c r="M17" i="4"/>
  <c r="L38" i="4"/>
  <c r="J13" i="4"/>
  <c r="O13" i="4" s="1"/>
  <c r="J14" i="4"/>
  <c r="O14" i="4" s="1"/>
  <c r="J6" i="4"/>
  <c r="O6" i="4" s="1"/>
  <c r="J16" i="4"/>
  <c r="J12" i="4"/>
  <c r="J18" i="4"/>
  <c r="J9" i="4"/>
  <c r="J21" i="4"/>
  <c r="J20" i="4"/>
  <c r="J22" i="4"/>
  <c r="J23" i="4"/>
  <c r="O23" i="4" s="1"/>
  <c r="J24" i="4"/>
  <c r="O24" i="4" s="1"/>
  <c r="J25" i="4"/>
  <c r="O25" i="4" s="1"/>
  <c r="J7" i="4"/>
  <c r="J10" i="4"/>
  <c r="J11" i="4"/>
  <c r="J15" i="4"/>
  <c r="J17" i="4"/>
  <c r="O17" i="4" s="1"/>
  <c r="J8" i="4"/>
  <c r="O8" i="4" s="1"/>
  <c r="J19" i="4"/>
  <c r="O19" i="4" s="1"/>
  <c r="O91" i="3"/>
  <c r="O90" i="3"/>
  <c r="M118" i="3" s="1" a="1"/>
  <c r="M118" i="3" s="1"/>
  <c r="O92" i="3"/>
  <c r="K17" i="4"/>
  <c r="K15" i="4"/>
  <c r="O66" i="3"/>
  <c r="O69" i="3" s="1"/>
  <c r="K24" i="4"/>
  <c r="K20" i="4"/>
  <c r="K13" i="4"/>
  <c r="K12" i="4"/>
  <c r="O11" i="4" l="1"/>
  <c r="M24" i="1"/>
  <c r="M14" i="1"/>
  <c r="M8" i="1"/>
  <c r="O20" i="4"/>
  <c r="O21" i="4"/>
  <c r="O7" i="4"/>
  <c r="O26" i="4" s="1"/>
  <c r="O22" i="4"/>
  <c r="O9" i="4"/>
  <c r="O18" i="4"/>
  <c r="O15" i="4"/>
  <c r="O10" i="4"/>
  <c r="M13" i="1"/>
  <c r="M18" i="1"/>
  <c r="O12" i="4"/>
  <c r="M20" i="1"/>
  <c r="M22" i="1"/>
  <c r="O16" i="4"/>
  <c r="M16" i="1"/>
  <c r="M11" i="1"/>
  <c r="I99" i="1" s="1"/>
  <c r="M25" i="1"/>
</calcChain>
</file>

<file path=xl/sharedStrings.xml><?xml version="1.0" encoding="utf-8"?>
<sst xmlns="http://schemas.openxmlformats.org/spreadsheetml/2006/main" count="212" uniqueCount="111">
  <si>
    <t>y</t>
  </si>
  <si>
    <t>Primavera</t>
  </si>
  <si>
    <t>Estate</t>
  </si>
  <si>
    <t>Autunno</t>
  </si>
  <si>
    <t xml:space="preserve">Trend </t>
  </si>
  <si>
    <t>Inverno</t>
  </si>
  <si>
    <t>Trimestri</t>
  </si>
  <si>
    <t>Intercetta</t>
  </si>
  <si>
    <t>Output della funzione REGR.LIN</t>
  </si>
  <si>
    <t>Coerff. stimati</t>
  </si>
  <si>
    <t>Coeff. stimati</t>
  </si>
  <si>
    <t>Valori teorici</t>
  </si>
  <si>
    <t>y= Andamento delle vendite di un bene (in migliaia di Euro durante il periodo I trim 2001 - 4 trim 2005)</t>
  </si>
  <si>
    <t>Serie detrendizzata</t>
  </si>
  <si>
    <t>Serie destagionalizzata</t>
  </si>
  <si>
    <t>Serie detrendizzata e destagionalizzata (residui)</t>
  </si>
  <si>
    <t>Trend</t>
  </si>
  <si>
    <t>Parametrizzazione senza intercetta</t>
  </si>
  <si>
    <t>Parametrizzazione senza livello associato all'inverno</t>
  </si>
  <si>
    <t>Relazione tra le due parametrizzazioni</t>
  </si>
  <si>
    <t>RELAZIONI TRA LE DUE PARAMETRIZZAZIONI</t>
  </si>
  <si>
    <t>PRIMA PARAMETRIZZAZIONE (SENZA L'INTERCETTA GENERALE)</t>
  </si>
  <si>
    <t>SECONDA  PARAMETRIZZAZIONE (SENZA IL LIVELLO ASSOCIATO ALL'INVERNO)</t>
  </si>
  <si>
    <t>Coefficienti stimati</t>
  </si>
  <si>
    <t>Test sulla presenza del trend</t>
  </si>
  <si>
    <t>t_trend</t>
  </si>
  <si>
    <t>Pvalue</t>
  </si>
  <si>
    <t>Rifiuto decisamente l'ipotesi che il coefficiente associato al trend nell'universo sia pari a 0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</si>
  <si>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</si>
  <si>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</si>
  <si>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</si>
  <si>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</si>
  <si>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</si>
  <si>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</si>
  <si>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</si>
  <si>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</si>
  <si>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</si>
  <si>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</si>
  <si>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</si>
  <si>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</si>
  <si>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</si>
  <si>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</si>
  <si>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</si>
  <si>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</si>
  <si>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</si>
  <si>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</si>
  <si>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</si>
  <si>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</si>
  <si>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</si>
  <si>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95.0%</t>
  </si>
  <si>
    <t>Superiore 95.0%</t>
  </si>
  <si>
    <t>Test sulla presenza della stagionalità</t>
  </si>
  <si>
    <t>Somma dei quadrati dei residui del modello ridotto (e'_re_r)</t>
  </si>
  <si>
    <t>Somma dei quadrati dei residui del modello completo (e'e)</t>
  </si>
  <si>
    <t>F=</t>
  </si>
  <si>
    <t>n-k=</t>
  </si>
  <si>
    <t>Numeratore F</t>
  </si>
  <si>
    <t>Denominatore F</t>
  </si>
  <si>
    <t>p value</t>
  </si>
  <si>
    <t>RIFIUTO DECISAMENTE L'IPOTESI NULLA CHE NELLA SERIE STORICA STORICA ORIGINARIA GLI EFFETTI STAGIONALI NON SIANO PRESENTI</t>
  </si>
  <si>
    <t>Secondo metodo di calcolo della statistica F utilizzando la formula generale</t>
  </si>
  <si>
    <t>3 x 1</t>
  </si>
  <si>
    <t>3 x 5</t>
  </si>
  <si>
    <t>=</t>
  </si>
  <si>
    <t>Numeratore F=</t>
  </si>
  <si>
    <t>q=</t>
  </si>
  <si>
    <t>Si noti che il valore ottenuto coincide con il valore contenuto nella cella O61 (e'_re_r-e'e)/q</t>
  </si>
  <si>
    <t>TEST DI DURBIN WATSON SUI RESIDUI</t>
  </si>
  <si>
    <t>e_t-e_t-1</t>
  </si>
  <si>
    <t>Il risultato del test di DW si colloca tra Q_L e Q_U</t>
  </si>
  <si>
    <t>Di conseguenza non posso trarre conclusioni  né in un senso né nell'altro sull'autocorrelazione dei residui</t>
  </si>
  <si>
    <t>Occorre testare l'ipotesi che i coefficienti relativi alle stagioni non siano significativi H_0:beta_primavera=beta_estate=beta_autunno=0</t>
  </si>
  <si>
    <t>Primo modo per calcolare il test: confronto tra la somma dei quadrati dei residui con e senza le variabili dummy associate alle stagioni</t>
  </si>
  <si>
    <t>Regressione lineare in un modello che non contiene gli effetti stagionali (modello ridotto y= intercetta +trend+epsilon)</t>
  </si>
  <si>
    <t>Osservazione: data la struttura di R, la premoltiplicazione e postmoltiplicaizone per R' estrae le ultime 3 righe e le ultime 3 colonne della matrice (X'X)-1</t>
  </si>
  <si>
    <t>Occorre testare che il coefficiente di regressione parziale associato al trend sia significativamente diverso da 0</t>
  </si>
  <si>
    <t>Serie destagionalizzata con il vincolo di somma a zero dei coefficienti stagionali</t>
  </si>
  <si>
    <t>Coeff stagionali con il vincolo di  media zero</t>
  </si>
  <si>
    <t>Stima del trend</t>
  </si>
  <si>
    <t>Componente stagionale a somma zero</t>
  </si>
  <si>
    <t>SCOMPOSIZIONE DELLA SERIE STORICA CON IL VINCOLO DI SOMMA A ZERO DEI COEFFICIENTI STAGIONALI</t>
  </si>
  <si>
    <t>Serie detrendizzata e destagionalizzata</t>
  </si>
  <si>
    <t>Stima della costante</t>
  </si>
  <si>
    <t>trim 1 2021</t>
  </si>
  <si>
    <t>trim 2 2021</t>
  </si>
  <si>
    <t>trim 3 2021</t>
  </si>
  <si>
    <t>trim 4 2021</t>
  </si>
  <si>
    <t>trim 1 2022</t>
  </si>
  <si>
    <t>trim 2 2022</t>
  </si>
  <si>
    <t>trim 3 2022</t>
  </si>
  <si>
    <t>trim 4 2022</t>
  </si>
  <si>
    <t>trim 1 2023</t>
  </si>
  <si>
    <t>trim 2 2023</t>
  </si>
  <si>
    <t>trim 3 2023</t>
  </si>
  <si>
    <t>trim 4 2023</t>
  </si>
  <si>
    <t>trim 1 2024</t>
  </si>
  <si>
    <t>trim 2 2024</t>
  </si>
  <si>
    <t>trim 3 2024</t>
  </si>
  <si>
    <t>trim 4 2024</t>
  </si>
  <si>
    <t>trim 1 2025</t>
  </si>
  <si>
    <t>trim 2 2025</t>
  </si>
  <si>
    <t>trim 3 2025</t>
  </si>
  <si>
    <t>trim 4 2025</t>
  </si>
  <si>
    <t>trim 1 2026</t>
  </si>
  <si>
    <t>trim 2 2026</t>
  </si>
  <si>
    <t>trim 3 2026</t>
  </si>
  <si>
    <t>trim 4 2026</t>
  </si>
  <si>
    <t>Spring</t>
  </si>
  <si>
    <t>Summer</t>
  </si>
  <si>
    <t>Autumn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</si>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</sst>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0" formatCode="0.0000"/>
    <numFmt numFmtId="171" formatCode="0.000"/>
    <numFmt numFmtId="172" formatCode="0.0"/>
    <numFmt numFmtId="175" formatCode="0.0000000"/>
  </numFmts>
  <fonts count="12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20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71" fontId="0" fillId="0" borderId="0" xfId="0" applyNumberFormat="1"/>
    <xf numFmtId="172" fontId="0" fillId="0" borderId="0" xfId="0" applyNumberFormat="1"/>
    <xf numFmtId="0" fontId="0" fillId="0" borderId="0" xfId="0" applyBorder="1"/>
    <xf numFmtId="171" fontId="0" fillId="0" borderId="0" xfId="0" applyNumberFormat="1" applyBorder="1"/>
    <xf numFmtId="175" fontId="0" fillId="0" borderId="0" xfId="0" applyNumberFormat="1"/>
    <xf numFmtId="0" fontId="3" fillId="0" borderId="0" xfId="0" applyFont="1" applyAlignment="1">
      <alignment wrapText="1"/>
    </xf>
    <xf numFmtId="0" fontId="2" fillId="0" borderId="0" xfId="0" applyFont="1"/>
    <xf numFmtId="170" fontId="0" fillId="0" borderId="0" xfId="0" applyNumberFormat="1"/>
    <xf numFmtId="0" fontId="5" fillId="0" borderId="0" xfId="0" applyFont="1" applyAlignment="1">
      <alignment wrapText="1"/>
    </xf>
    <xf numFmtId="0" fontId="5" fillId="0" borderId="0" xfId="0" applyFont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Continuous"/>
    </xf>
    <xf numFmtId="1" fontId="0" fillId="0" borderId="0" xfId="0" applyNumberFormat="1"/>
    <xf numFmtId="171" fontId="3" fillId="0" borderId="0" xfId="0" applyNumberFormat="1" applyFont="1"/>
    <xf numFmtId="0" fontId="8" fillId="0" borderId="0" xfId="0" applyFont="1"/>
    <xf numFmtId="171" fontId="9" fillId="0" borderId="0" xfId="0" applyNumberFormat="1" applyFont="1"/>
    <xf numFmtId="0" fontId="10" fillId="0" borderId="0" xfId="0" applyFont="1"/>
    <xf numFmtId="0" fontId="4" fillId="0" borderId="0" xfId="0" applyFont="1"/>
    <xf numFmtId="0" fontId="11" fillId="0" borderId="0" xfId="0" applyFont="1"/>
    <xf numFmtId="0" fontId="8" fillId="0" borderId="0" xfId="0" applyFont="1" applyAlignment="1">
      <alignment horizontal="center" wrapText="1"/>
    </xf>
    <xf numFmtId="17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storica originale</a:t>
            </a:r>
          </a:p>
        </c:rich>
      </c:tx>
      <c:layout>
        <c:manualLayout>
          <c:xMode val="edge"/>
          <c:yMode val="edge"/>
          <c:x val="0.37829942811400774"/>
          <c:y val="3.4810126582278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490386508536"/>
          <c:y val="0.15189896889056456"/>
          <c:w val="0.84750793815577041"/>
          <c:h val="0.56645657148773032"/>
        </c:manualLayout>
      </c:layout>
      <c:lineChart>
        <c:grouping val="standard"/>
        <c:varyColors val="0"/>
        <c:ser>
          <c:idx val="0"/>
          <c:order val="0"/>
          <c:tx>
            <c:strRef>
              <c:f>First_par!$C$5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First_par!$B$6:$B$25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First_par!$C$6:$C$25</c:f>
              <c:numCache>
                <c:formatCode>0.0</c:formatCode>
                <c:ptCount val="20"/>
                <c:pt idx="0">
                  <c:v>254</c:v>
                </c:pt>
                <c:pt idx="1">
                  <c:v>292.39999999999998</c:v>
                </c:pt>
                <c:pt idx="2">
                  <c:v>297.8</c:v>
                </c:pt>
                <c:pt idx="3">
                  <c:v>330.3</c:v>
                </c:pt>
                <c:pt idx="4">
                  <c:v>291.10000000000002</c:v>
                </c:pt>
                <c:pt idx="5">
                  <c:v>327.60000000000002</c:v>
                </c:pt>
                <c:pt idx="6">
                  <c:v>321.2</c:v>
                </c:pt>
                <c:pt idx="7">
                  <c:v>354.3</c:v>
                </c:pt>
                <c:pt idx="8">
                  <c:v>304.60000000000002</c:v>
                </c:pt>
                <c:pt idx="9">
                  <c:v>348.4</c:v>
                </c:pt>
                <c:pt idx="10">
                  <c:v>350.8</c:v>
                </c:pt>
                <c:pt idx="11">
                  <c:v>374.2</c:v>
                </c:pt>
                <c:pt idx="12">
                  <c:v>319.5</c:v>
                </c:pt>
                <c:pt idx="13">
                  <c:v>361.5</c:v>
                </c:pt>
                <c:pt idx="14">
                  <c:v>369.4</c:v>
                </c:pt>
                <c:pt idx="15">
                  <c:v>395.2</c:v>
                </c:pt>
                <c:pt idx="16">
                  <c:v>332.6</c:v>
                </c:pt>
                <c:pt idx="17">
                  <c:v>383.5</c:v>
                </c:pt>
                <c:pt idx="18">
                  <c:v>383.8</c:v>
                </c:pt>
                <c:pt idx="19">
                  <c:v>407.4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C-41CB-A3AC-ACA6A006B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12495"/>
        <c:axId val="1"/>
      </c:lineChart>
      <c:catAx>
        <c:axId val="1167112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11730513157996"/>
              <c:y val="0.914558290973122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</a:t>
                </a:r>
              </a:p>
            </c:rich>
          </c:tx>
          <c:layout>
            <c:manualLayout>
              <c:xMode val="edge"/>
              <c:yMode val="edge"/>
              <c:x val="2.7859237536656891E-2"/>
              <c:y val="0.351266487258712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124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880737845913588"/>
          <c:y val="3.63036303630363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812969449680028"/>
          <c:y val="0.22112282488534216"/>
          <c:w val="0.85125245309368458"/>
          <c:h val="0.41584292441124049"/>
        </c:manualLayout>
      </c:layout>
      <c:lineChart>
        <c:grouping val="standard"/>
        <c:varyColors val="0"/>
        <c:ser>
          <c:idx val="0"/>
          <c:order val="0"/>
          <c:tx>
            <c:strRef>
              <c:f>First_par!$J$5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First_par!$B$6:$B$25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First_par!$J$6:$J$25</c:f>
              <c:numCache>
                <c:formatCode>General</c:formatCode>
                <c:ptCount val="20"/>
                <c:pt idx="0">
                  <c:v>248.89374999999998</c:v>
                </c:pt>
                <c:pt idx="1">
                  <c:v>282.18749999999994</c:v>
                </c:pt>
                <c:pt idx="2">
                  <c:v>282.48124999999999</c:v>
                </c:pt>
                <c:pt idx="3">
                  <c:v>309.875</c:v>
                </c:pt>
                <c:pt idx="4">
                  <c:v>265.56875000000002</c:v>
                </c:pt>
                <c:pt idx="5">
                  <c:v>296.96249999999998</c:v>
                </c:pt>
                <c:pt idx="6">
                  <c:v>285.45624999999995</c:v>
                </c:pt>
                <c:pt idx="7">
                  <c:v>313.45</c:v>
                </c:pt>
                <c:pt idx="8">
                  <c:v>258.64375000000001</c:v>
                </c:pt>
                <c:pt idx="9">
                  <c:v>297.33749999999992</c:v>
                </c:pt>
                <c:pt idx="10">
                  <c:v>294.63124999999997</c:v>
                </c:pt>
                <c:pt idx="11">
                  <c:v>312.92499999999995</c:v>
                </c:pt>
                <c:pt idx="12">
                  <c:v>253.11874999999995</c:v>
                </c:pt>
                <c:pt idx="13">
                  <c:v>290.01249999999993</c:v>
                </c:pt>
                <c:pt idx="14">
                  <c:v>292.80624999999992</c:v>
                </c:pt>
                <c:pt idx="15">
                  <c:v>313.49999999999994</c:v>
                </c:pt>
                <c:pt idx="16">
                  <c:v>245.79374999999996</c:v>
                </c:pt>
                <c:pt idx="17">
                  <c:v>291.58749999999992</c:v>
                </c:pt>
                <c:pt idx="18">
                  <c:v>286.78124999999994</c:v>
                </c:pt>
                <c:pt idx="19">
                  <c:v>305.27499999999992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6-43CA-B8E4-FFBCEEC76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29775"/>
        <c:axId val="1"/>
      </c:lineChart>
      <c:catAx>
        <c:axId val="1167129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0957321056517424"/>
              <c:y val="0.874590230676611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 trend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141914537910483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297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destagionalizzata</a:t>
            </a:r>
          </a:p>
        </c:rich>
      </c:tx>
      <c:layout>
        <c:manualLayout>
          <c:xMode val="edge"/>
          <c:yMode val="edge"/>
          <c:x val="0.36671606770803133"/>
          <c:y val="3.4375000000000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20336820819349"/>
          <c:y val="0.20937500000000001"/>
          <c:w val="0.80117877938229143"/>
          <c:h val="0.51249999999999996"/>
        </c:manualLayout>
      </c:layout>
      <c:lineChart>
        <c:grouping val="standard"/>
        <c:varyColors val="0"/>
        <c:ser>
          <c:idx val="0"/>
          <c:order val="0"/>
          <c:tx>
            <c:strRef>
              <c:f>First_par!$J$5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First_par!$B$6:$B$25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First_par!$K$6:$K$25</c:f>
              <c:numCache>
                <c:formatCode>0.0</c:formatCode>
                <c:ptCount val="20"/>
                <c:pt idx="0" formatCode="0.0000">
                  <c:v>-0.40374999999983174</c:v>
                </c:pt>
                <c:pt idx="1">
                  <c:v>0.78249999999997044</c:v>
                </c:pt>
                <c:pt idx="2">
                  <c:v>9.3687499999999204</c:v>
                </c:pt>
                <c:pt idx="3">
                  <c:v>19.29500000000013</c:v>
                </c:pt>
                <c:pt idx="4">
                  <c:v>36.696250000000191</c:v>
                </c:pt>
                <c:pt idx="5">
                  <c:v>35.982500000000016</c:v>
                </c:pt>
                <c:pt idx="6">
                  <c:v>32.768749999999898</c:v>
                </c:pt>
                <c:pt idx="7">
                  <c:v>43.29500000000013</c:v>
                </c:pt>
                <c:pt idx="8">
                  <c:v>50.196250000000191</c:v>
                </c:pt>
                <c:pt idx="9">
                  <c:v>56.78249999999997</c:v>
                </c:pt>
                <c:pt idx="10">
                  <c:v>62.36874999999992</c:v>
                </c:pt>
                <c:pt idx="11">
                  <c:v>63.195000000000107</c:v>
                </c:pt>
                <c:pt idx="12">
                  <c:v>65.096250000000168</c:v>
                </c:pt>
                <c:pt idx="13">
                  <c:v>69.882499999999993</c:v>
                </c:pt>
                <c:pt idx="14">
                  <c:v>80.968749999999886</c:v>
                </c:pt>
                <c:pt idx="15">
                  <c:v>84.195000000000107</c:v>
                </c:pt>
                <c:pt idx="16">
                  <c:v>78.196250000000191</c:v>
                </c:pt>
                <c:pt idx="17">
                  <c:v>91.882499999999993</c:v>
                </c:pt>
                <c:pt idx="18">
                  <c:v>95.36874999999992</c:v>
                </c:pt>
                <c:pt idx="19">
                  <c:v>96.395000000000095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7-4B6C-B65B-00E2A9706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15375"/>
        <c:axId val="1"/>
      </c:lineChart>
      <c:catAx>
        <c:axId val="1167115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3461002941642599"/>
              <c:y val="0.881249999999999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  <c:min val="-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dalla stagionalità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231250000000000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153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detrendizzata e destagionalizzata</a:t>
            </a:r>
          </a:p>
        </c:rich>
      </c:tx>
      <c:layout>
        <c:manualLayout>
          <c:xMode val="edge"/>
          <c:yMode val="edge"/>
          <c:x val="0.29307821058450167"/>
          <c:y val="3.78006872852233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16653135249689"/>
          <c:y val="0.22336844719329627"/>
          <c:w val="0.826215616237988"/>
          <c:h val="0.39862676729880564"/>
        </c:manualLayout>
      </c:layout>
      <c:lineChart>
        <c:grouping val="standard"/>
        <c:varyColors val="0"/>
        <c:ser>
          <c:idx val="0"/>
          <c:order val="0"/>
          <c:tx>
            <c:strRef>
              <c:f>First_par!$J$5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First_par!$B$6:$B$25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First_par!$L$6:$L$25</c:f>
              <c:numCache>
                <c:formatCode>0.0</c:formatCode>
                <c:ptCount val="20"/>
                <c:pt idx="0">
                  <c:v>-5.5099999999998204</c:v>
                </c:pt>
                <c:pt idx="1">
                  <c:v>-9.4300000000000637</c:v>
                </c:pt>
                <c:pt idx="2">
                  <c:v>-5.9500000000001023</c:v>
                </c:pt>
                <c:pt idx="3">
                  <c:v>-1.1299999999998818</c:v>
                </c:pt>
                <c:pt idx="4">
                  <c:v>11.165000000000191</c:v>
                </c:pt>
                <c:pt idx="5">
                  <c:v>5.3449999999999704</c:v>
                </c:pt>
                <c:pt idx="6">
                  <c:v>-2.9750000000001364</c:v>
                </c:pt>
                <c:pt idx="7">
                  <c:v>2.4450000000001069</c:v>
                </c:pt>
                <c:pt idx="8">
                  <c:v>4.2400000000001796</c:v>
                </c:pt>
                <c:pt idx="9">
                  <c:v>5.7199999999999136</c:v>
                </c:pt>
                <c:pt idx="10">
                  <c:v>6.1999999999998749</c:v>
                </c:pt>
                <c:pt idx="11">
                  <c:v>1.9200000000000728</c:v>
                </c:pt>
                <c:pt idx="12">
                  <c:v>-1.2849999999998545</c:v>
                </c:pt>
                <c:pt idx="13">
                  <c:v>-1.605000000000075</c:v>
                </c:pt>
                <c:pt idx="14">
                  <c:v>4.3749999999998295</c:v>
                </c:pt>
                <c:pt idx="15">
                  <c:v>2.4950000000000614</c:v>
                </c:pt>
                <c:pt idx="16">
                  <c:v>-8.6099999999999</c:v>
                </c:pt>
                <c:pt idx="17">
                  <c:v>-3.0000000000086402E-2</c:v>
                </c:pt>
                <c:pt idx="18">
                  <c:v>-1.6500000000001478</c:v>
                </c:pt>
                <c:pt idx="19">
                  <c:v>-5.7299999999999613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7C-48B4-8428-BF23AA41D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42735"/>
        <c:axId val="1"/>
      </c:lineChart>
      <c:catAx>
        <c:axId val="1167142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213552429657633"/>
              <c:y val="0.86941869379729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 trend e dalla stagionalità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1237117009858303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4273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storica originale e valori teorici</a:t>
            </a:r>
          </a:p>
        </c:rich>
      </c:tx>
      <c:layout>
        <c:manualLayout>
          <c:xMode val="edge"/>
          <c:yMode val="edge"/>
          <c:x val="0.37829942811400774"/>
          <c:y val="3.4810126582278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490386508541"/>
          <c:y val="0.15189896889056462"/>
          <c:w val="0.84750793815577063"/>
          <c:h val="0.5664565714877301"/>
        </c:manualLayout>
      </c:layout>
      <c:lineChart>
        <c:grouping val="standard"/>
        <c:varyColors val="0"/>
        <c:ser>
          <c:idx val="0"/>
          <c:order val="0"/>
          <c:tx>
            <c:strRef>
              <c:f>First_par!$C$5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First_par!$B$6:$B$25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First_par!$C$6:$C$25</c:f>
              <c:numCache>
                <c:formatCode>0.0</c:formatCode>
                <c:ptCount val="20"/>
                <c:pt idx="0">
                  <c:v>254</c:v>
                </c:pt>
                <c:pt idx="1">
                  <c:v>292.39999999999998</c:v>
                </c:pt>
                <c:pt idx="2">
                  <c:v>297.8</c:v>
                </c:pt>
                <c:pt idx="3">
                  <c:v>330.3</c:v>
                </c:pt>
                <c:pt idx="4">
                  <c:v>291.10000000000002</c:v>
                </c:pt>
                <c:pt idx="5">
                  <c:v>327.60000000000002</c:v>
                </c:pt>
                <c:pt idx="6">
                  <c:v>321.2</c:v>
                </c:pt>
                <c:pt idx="7">
                  <c:v>354.3</c:v>
                </c:pt>
                <c:pt idx="8">
                  <c:v>304.60000000000002</c:v>
                </c:pt>
                <c:pt idx="9">
                  <c:v>348.4</c:v>
                </c:pt>
                <c:pt idx="10">
                  <c:v>350.8</c:v>
                </c:pt>
                <c:pt idx="11">
                  <c:v>374.2</c:v>
                </c:pt>
                <c:pt idx="12">
                  <c:v>319.5</c:v>
                </c:pt>
                <c:pt idx="13">
                  <c:v>361.5</c:v>
                </c:pt>
                <c:pt idx="14">
                  <c:v>369.4</c:v>
                </c:pt>
                <c:pt idx="15">
                  <c:v>395.2</c:v>
                </c:pt>
                <c:pt idx="16">
                  <c:v>332.6</c:v>
                </c:pt>
                <c:pt idx="17">
                  <c:v>383.5</c:v>
                </c:pt>
                <c:pt idx="18">
                  <c:v>383.8</c:v>
                </c:pt>
                <c:pt idx="19">
                  <c:v>407.4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2-44EB-ABA3-73B4734B3A0A}"/>
            </c:ext>
          </c:extLst>
        </c:ser>
        <c:ser>
          <c:idx val="1"/>
          <c:order val="1"/>
          <c:tx>
            <c:v>yteorici</c:v>
          </c:tx>
          <c:val>
            <c:numRef>
              <c:f>First_par!$I$6:$I$25</c:f>
              <c:numCache>
                <c:formatCode>General</c:formatCode>
                <c:ptCount val="20"/>
                <c:pt idx="0">
                  <c:v>259.50999999999982</c:v>
                </c:pt>
                <c:pt idx="1">
                  <c:v>301.83000000000004</c:v>
                </c:pt>
                <c:pt idx="2">
                  <c:v>303.75000000000011</c:v>
                </c:pt>
                <c:pt idx="3">
                  <c:v>331.42999999999989</c:v>
                </c:pt>
                <c:pt idx="4">
                  <c:v>279.93499999999983</c:v>
                </c:pt>
                <c:pt idx="5">
                  <c:v>322.25500000000005</c:v>
                </c:pt>
                <c:pt idx="6">
                  <c:v>324.17500000000013</c:v>
                </c:pt>
                <c:pt idx="7">
                  <c:v>351.8549999999999</c:v>
                </c:pt>
                <c:pt idx="8">
                  <c:v>300.35999999999984</c:v>
                </c:pt>
                <c:pt idx="9">
                  <c:v>342.68000000000006</c:v>
                </c:pt>
                <c:pt idx="10">
                  <c:v>344.60000000000014</c:v>
                </c:pt>
                <c:pt idx="11">
                  <c:v>372.27999999999992</c:v>
                </c:pt>
                <c:pt idx="12">
                  <c:v>320.78499999999985</c:v>
                </c:pt>
                <c:pt idx="13">
                  <c:v>363.10500000000008</c:v>
                </c:pt>
                <c:pt idx="14">
                  <c:v>365.02500000000015</c:v>
                </c:pt>
                <c:pt idx="15">
                  <c:v>392.70499999999993</c:v>
                </c:pt>
                <c:pt idx="16">
                  <c:v>341.20999999999992</c:v>
                </c:pt>
                <c:pt idx="17">
                  <c:v>383.53000000000009</c:v>
                </c:pt>
                <c:pt idx="18">
                  <c:v>385.45000000000016</c:v>
                </c:pt>
                <c:pt idx="19">
                  <c:v>413.12999999999994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2-44EB-ABA3-73B4734B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40815"/>
        <c:axId val="1"/>
      </c:lineChart>
      <c:catAx>
        <c:axId val="1167140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11730513157996"/>
              <c:y val="0.914558290973122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</a:t>
                </a:r>
              </a:p>
            </c:rich>
          </c:tx>
          <c:layout>
            <c:manualLayout>
              <c:xMode val="edge"/>
              <c:yMode val="edge"/>
              <c:x val="2.7859237536656891E-2"/>
              <c:y val="0.351266487258712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408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6600045097051266"/>
          <c:y val="0.52812293242870156"/>
          <c:w val="0.19766026111612719"/>
          <c:h val="7.0590688987994754E-2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9372458149844245"/>
          <c:y val="3.481012658227847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8.6471526422384967E-2"/>
          <c:y val="0.19303827296509246"/>
          <c:w val="0.82287420305172787"/>
          <c:h val="0.53481095296886272"/>
        </c:manualLayout>
      </c:layout>
      <c:lineChart>
        <c:grouping val="standard"/>
        <c:varyColors val="0"/>
        <c:ser>
          <c:idx val="0"/>
          <c:order val="0"/>
          <c:tx>
            <c:strRef>
              <c:f>Second_par!$C$5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Second_par!$B$6:$B$25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Second_par!$C$6:$C$25</c:f>
              <c:numCache>
                <c:formatCode>0.0</c:formatCode>
                <c:ptCount val="20"/>
                <c:pt idx="0">
                  <c:v>254</c:v>
                </c:pt>
                <c:pt idx="1">
                  <c:v>292.39999999999998</c:v>
                </c:pt>
                <c:pt idx="2">
                  <c:v>297.8</c:v>
                </c:pt>
                <c:pt idx="3">
                  <c:v>330.3</c:v>
                </c:pt>
                <c:pt idx="4">
                  <c:v>291.10000000000002</c:v>
                </c:pt>
                <c:pt idx="5">
                  <c:v>327.60000000000002</c:v>
                </c:pt>
                <c:pt idx="6">
                  <c:v>321.2</c:v>
                </c:pt>
                <c:pt idx="7">
                  <c:v>354.3</c:v>
                </c:pt>
                <c:pt idx="8">
                  <c:v>304.60000000000002</c:v>
                </c:pt>
                <c:pt idx="9">
                  <c:v>348.4</c:v>
                </c:pt>
                <c:pt idx="10">
                  <c:v>350.8</c:v>
                </c:pt>
                <c:pt idx="11">
                  <c:v>374.2</c:v>
                </c:pt>
                <c:pt idx="12">
                  <c:v>319.5</c:v>
                </c:pt>
                <c:pt idx="13">
                  <c:v>361.5</c:v>
                </c:pt>
                <c:pt idx="14">
                  <c:v>369.4</c:v>
                </c:pt>
                <c:pt idx="15">
                  <c:v>395.2</c:v>
                </c:pt>
                <c:pt idx="16">
                  <c:v>332.6</c:v>
                </c:pt>
                <c:pt idx="17">
                  <c:v>383.5</c:v>
                </c:pt>
                <c:pt idx="18">
                  <c:v>383.8</c:v>
                </c:pt>
                <c:pt idx="19">
                  <c:v>407.4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7-4A32-86C1-C1BCDCFD6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412111"/>
        <c:axId val="1"/>
      </c:lineChart>
      <c:catAx>
        <c:axId val="643412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6434121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46836211165379"/>
          <c:y val="0.44169269904694708"/>
          <c:w val="6.482203934729476E-2"/>
          <c:h val="7.077568471375411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880737845913588"/>
          <c:y val="3.630365693106252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812969449680028"/>
          <c:y val="0.21405784191830871"/>
          <c:w val="0.85125245309368458"/>
          <c:h val="0.43450547016253704"/>
        </c:manualLayout>
      </c:layout>
      <c:lineChart>
        <c:grouping val="standard"/>
        <c:varyColors val="0"/>
        <c:ser>
          <c:idx val="0"/>
          <c:order val="0"/>
          <c:tx>
            <c:strRef>
              <c:f>Sum_to_zero!$K$5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Sum_to_zero!$B$6:$B$25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Sum_to_zero!$K$6:$K$25</c:f>
              <c:numCache>
                <c:formatCode>General</c:formatCode>
                <c:ptCount val="20"/>
                <c:pt idx="0">
                  <c:v>-37.470624999999956</c:v>
                </c:pt>
                <c:pt idx="1">
                  <c:v>-4.1768749999999955</c:v>
                </c:pt>
                <c:pt idx="2">
                  <c:v>-3.88312499999995</c:v>
                </c:pt>
                <c:pt idx="3">
                  <c:v>23.510625000000061</c:v>
                </c:pt>
                <c:pt idx="4">
                  <c:v>-20.795624999999916</c:v>
                </c:pt>
                <c:pt idx="5">
                  <c:v>10.598125000000039</c:v>
                </c:pt>
                <c:pt idx="6">
                  <c:v>-0.90812499999998408</c:v>
                </c:pt>
                <c:pt idx="7">
                  <c:v>27.08562500000005</c:v>
                </c:pt>
                <c:pt idx="8">
                  <c:v>-27.720624999999927</c:v>
                </c:pt>
                <c:pt idx="9">
                  <c:v>10.973124999999982</c:v>
                </c:pt>
                <c:pt idx="10">
                  <c:v>8.2668750000000273</c:v>
                </c:pt>
                <c:pt idx="11">
                  <c:v>26.560625000000016</c:v>
                </c:pt>
                <c:pt idx="12">
                  <c:v>-33.24562499999999</c:v>
                </c:pt>
                <c:pt idx="13">
                  <c:v>3.6481249999999932</c:v>
                </c:pt>
                <c:pt idx="14">
                  <c:v>6.4418749999999818</c:v>
                </c:pt>
                <c:pt idx="15">
                  <c:v>27.135625000000005</c:v>
                </c:pt>
                <c:pt idx="16">
                  <c:v>-40.570624999999978</c:v>
                </c:pt>
                <c:pt idx="17">
                  <c:v>5.2231249999999818</c:v>
                </c:pt>
                <c:pt idx="18">
                  <c:v>0.41687500000000455</c:v>
                </c:pt>
                <c:pt idx="19">
                  <c:v>18.910624999999982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3-4168-8999-0BB1B0FF6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45135"/>
        <c:axId val="1"/>
      </c:lineChart>
      <c:catAx>
        <c:axId val="1167145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0957321056517424"/>
              <c:y val="0.874590324771703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 trend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141914417247364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4513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destagionalizzata</a:t>
            </a:r>
          </a:p>
        </c:rich>
      </c:tx>
      <c:layout>
        <c:manualLayout>
          <c:xMode val="edge"/>
          <c:yMode val="edge"/>
          <c:x val="0.36671606770803133"/>
          <c:y val="3.43750000000000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820336820819349"/>
          <c:y val="0.20937500000000001"/>
          <c:w val="0.80117877938229143"/>
          <c:h val="0.51249999999999996"/>
        </c:manualLayout>
      </c:layout>
      <c:lineChart>
        <c:grouping val="standard"/>
        <c:varyColors val="0"/>
        <c:ser>
          <c:idx val="0"/>
          <c:order val="0"/>
          <c:tx>
            <c:strRef>
              <c:f>Sum_to_zero!$K$5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Sum_to_zero!$B$6:$B$25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Sum_to_zero!$M$6:$M$25</c:f>
              <c:numCache>
                <c:formatCode>0.0000</c:formatCode>
                <c:ptCount val="20"/>
                <c:pt idx="0">
                  <c:v>285.96062500000011</c:v>
                </c:pt>
                <c:pt idx="1">
                  <c:v>287.14687499999991</c:v>
                </c:pt>
                <c:pt idx="2">
                  <c:v>295.73312499999986</c:v>
                </c:pt>
                <c:pt idx="3">
                  <c:v>305.65937500000007</c:v>
                </c:pt>
                <c:pt idx="4">
                  <c:v>323.06062500000013</c:v>
                </c:pt>
                <c:pt idx="5">
                  <c:v>322.34687499999995</c:v>
                </c:pt>
                <c:pt idx="6">
                  <c:v>319.13312499999984</c:v>
                </c:pt>
                <c:pt idx="7">
                  <c:v>329.65937500000007</c:v>
                </c:pt>
                <c:pt idx="8">
                  <c:v>336.56062500000013</c:v>
                </c:pt>
                <c:pt idx="9">
                  <c:v>343.14687499999991</c:v>
                </c:pt>
                <c:pt idx="10">
                  <c:v>348.73312499999986</c:v>
                </c:pt>
                <c:pt idx="11">
                  <c:v>349.55937500000005</c:v>
                </c:pt>
                <c:pt idx="12">
                  <c:v>351.46062500000011</c:v>
                </c:pt>
                <c:pt idx="13">
                  <c:v>356.24687499999993</c:v>
                </c:pt>
                <c:pt idx="14">
                  <c:v>367.33312499999982</c:v>
                </c:pt>
                <c:pt idx="15">
                  <c:v>370.55937500000005</c:v>
                </c:pt>
                <c:pt idx="16">
                  <c:v>364.56062500000013</c:v>
                </c:pt>
                <c:pt idx="17">
                  <c:v>378.24687499999993</c:v>
                </c:pt>
                <c:pt idx="18">
                  <c:v>381.73312499999986</c:v>
                </c:pt>
                <c:pt idx="19">
                  <c:v>382.75937500000003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D-400A-A0BF-52B37FC2E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03855"/>
        <c:axId val="1"/>
      </c:lineChart>
      <c:catAx>
        <c:axId val="1167103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3461002941642599"/>
              <c:y val="0.881249999999999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90"/>
          <c:min val="2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dalla stagionalità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231250000000000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0385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detrendizzata e destagionalizzata</a:t>
            </a:r>
          </a:p>
        </c:rich>
      </c:tx>
      <c:layout>
        <c:manualLayout>
          <c:xMode val="edge"/>
          <c:yMode val="edge"/>
          <c:x val="0.29307821058450167"/>
          <c:y val="3.78006872852233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316653135249689"/>
          <c:y val="0.22336844719329627"/>
          <c:w val="0.826215616237988"/>
          <c:h val="0.39862676729880564"/>
        </c:manualLayout>
      </c:layout>
      <c:lineChart>
        <c:grouping val="standard"/>
        <c:varyColors val="0"/>
        <c:ser>
          <c:idx val="0"/>
          <c:order val="0"/>
          <c:tx>
            <c:strRef>
              <c:f>Sum_to_zero!$K$5</c:f>
              <c:strCache>
                <c:ptCount val="1"/>
                <c:pt idx="0">
                  <c:v>Serie detrendizzata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Sum_to_zero!$B$6:$B$25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Sum_to_zero!$N$6:$N$25</c:f>
              <c:numCache>
                <c:formatCode>0.0</c:formatCode>
                <c:ptCount val="20"/>
                <c:pt idx="0">
                  <c:v>-5.5099999999998204</c:v>
                </c:pt>
                <c:pt idx="1">
                  <c:v>-9.4300000000000637</c:v>
                </c:pt>
                <c:pt idx="2">
                  <c:v>-5.9500000000001023</c:v>
                </c:pt>
                <c:pt idx="3">
                  <c:v>-1.1299999999998818</c:v>
                </c:pt>
                <c:pt idx="4">
                  <c:v>11.165000000000191</c:v>
                </c:pt>
                <c:pt idx="5">
                  <c:v>5.3449999999999704</c:v>
                </c:pt>
                <c:pt idx="6">
                  <c:v>-2.9750000000001364</c:v>
                </c:pt>
                <c:pt idx="7">
                  <c:v>2.4450000000001069</c:v>
                </c:pt>
                <c:pt idx="8">
                  <c:v>4.2400000000001796</c:v>
                </c:pt>
                <c:pt idx="9">
                  <c:v>5.7199999999999136</c:v>
                </c:pt>
                <c:pt idx="10">
                  <c:v>6.1999999999998749</c:v>
                </c:pt>
                <c:pt idx="11">
                  <c:v>1.9200000000000728</c:v>
                </c:pt>
                <c:pt idx="12">
                  <c:v>-1.2849999999998545</c:v>
                </c:pt>
                <c:pt idx="13">
                  <c:v>-1.605000000000075</c:v>
                </c:pt>
                <c:pt idx="14">
                  <c:v>4.3749999999998295</c:v>
                </c:pt>
                <c:pt idx="15">
                  <c:v>2.4950000000000614</c:v>
                </c:pt>
                <c:pt idx="16">
                  <c:v>-8.6099999999999</c:v>
                </c:pt>
                <c:pt idx="17">
                  <c:v>-3.0000000000086402E-2</c:v>
                </c:pt>
                <c:pt idx="18">
                  <c:v>-1.6500000000001478</c:v>
                </c:pt>
                <c:pt idx="19">
                  <c:v>-5.7299999999999613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74-430D-A888-F22D65C6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08175"/>
        <c:axId val="1"/>
      </c:lineChart>
      <c:catAx>
        <c:axId val="116710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213552429657633"/>
              <c:y val="0.86941869379729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 depurate dal trend e dalla stagionalità</a:t>
                </a:r>
              </a:p>
            </c:rich>
          </c:tx>
          <c:layout>
            <c:manualLayout>
              <c:xMode val="edge"/>
              <c:yMode val="edge"/>
              <c:x val="2.3564064801178203E-2"/>
              <c:y val="0.1237117009858303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081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storica orginale e stima del trend</a:t>
            </a:r>
          </a:p>
        </c:rich>
      </c:tx>
      <c:layout>
        <c:manualLayout>
          <c:xMode val="edge"/>
          <c:yMode val="edge"/>
          <c:x val="0.37829942811400774"/>
          <c:y val="3.4810126582278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490386508536"/>
          <c:y val="0.15189896889056456"/>
          <c:w val="0.84750793815577041"/>
          <c:h val="0.56645657148773032"/>
        </c:manualLayout>
      </c:layout>
      <c:lineChart>
        <c:grouping val="standard"/>
        <c:varyColors val="0"/>
        <c:ser>
          <c:idx val="0"/>
          <c:order val="0"/>
          <c:tx>
            <c:strRef>
              <c:f>Sum_to_zero!$C$5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Sum_to_zero!$B$6:$B$25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Sum_to_zero!$C$6:$C$25</c:f>
              <c:numCache>
                <c:formatCode>0.0</c:formatCode>
                <c:ptCount val="20"/>
                <c:pt idx="0">
                  <c:v>254</c:v>
                </c:pt>
                <c:pt idx="1">
                  <c:v>292.39999999999998</c:v>
                </c:pt>
                <c:pt idx="2">
                  <c:v>297.8</c:v>
                </c:pt>
                <c:pt idx="3">
                  <c:v>330.3</c:v>
                </c:pt>
                <c:pt idx="4">
                  <c:v>291.10000000000002</c:v>
                </c:pt>
                <c:pt idx="5">
                  <c:v>327.60000000000002</c:v>
                </c:pt>
                <c:pt idx="6">
                  <c:v>321.2</c:v>
                </c:pt>
                <c:pt idx="7">
                  <c:v>354.3</c:v>
                </c:pt>
                <c:pt idx="8">
                  <c:v>304.60000000000002</c:v>
                </c:pt>
                <c:pt idx="9">
                  <c:v>348.4</c:v>
                </c:pt>
                <c:pt idx="10">
                  <c:v>350.8</c:v>
                </c:pt>
                <c:pt idx="11">
                  <c:v>374.2</c:v>
                </c:pt>
                <c:pt idx="12">
                  <c:v>319.5</c:v>
                </c:pt>
                <c:pt idx="13">
                  <c:v>361.5</c:v>
                </c:pt>
                <c:pt idx="14">
                  <c:v>369.4</c:v>
                </c:pt>
                <c:pt idx="15">
                  <c:v>395.2</c:v>
                </c:pt>
                <c:pt idx="16">
                  <c:v>332.6</c:v>
                </c:pt>
                <c:pt idx="17">
                  <c:v>383.5</c:v>
                </c:pt>
                <c:pt idx="18">
                  <c:v>383.8</c:v>
                </c:pt>
                <c:pt idx="19">
                  <c:v>407.4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6-49C7-8FB9-055AF6ECB545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Sum_to_zero!$J$6:$J$25</c:f>
              <c:numCache>
                <c:formatCode>General</c:formatCode>
                <c:ptCount val="20"/>
                <c:pt idx="0">
                  <c:v>291.47062499999993</c:v>
                </c:pt>
                <c:pt idx="1">
                  <c:v>296.57687499999997</c:v>
                </c:pt>
                <c:pt idx="2">
                  <c:v>301.68312499999996</c:v>
                </c:pt>
                <c:pt idx="3">
                  <c:v>306.78937499999995</c:v>
                </c:pt>
                <c:pt idx="4">
                  <c:v>311.89562499999994</c:v>
                </c:pt>
                <c:pt idx="5">
                  <c:v>317.00187499999998</c:v>
                </c:pt>
                <c:pt idx="6">
                  <c:v>322.10812499999997</c:v>
                </c:pt>
                <c:pt idx="7">
                  <c:v>327.21437499999996</c:v>
                </c:pt>
                <c:pt idx="8">
                  <c:v>332.32062499999995</c:v>
                </c:pt>
                <c:pt idx="9">
                  <c:v>337.426875</c:v>
                </c:pt>
                <c:pt idx="10">
                  <c:v>342.53312499999998</c:v>
                </c:pt>
                <c:pt idx="11">
                  <c:v>347.63937499999997</c:v>
                </c:pt>
                <c:pt idx="12">
                  <c:v>352.74562500000002</c:v>
                </c:pt>
                <c:pt idx="13">
                  <c:v>357.85187500000001</c:v>
                </c:pt>
                <c:pt idx="14">
                  <c:v>362.958125</c:v>
                </c:pt>
                <c:pt idx="15">
                  <c:v>368.06437499999998</c:v>
                </c:pt>
                <c:pt idx="16">
                  <c:v>373.17062499999997</c:v>
                </c:pt>
                <c:pt idx="17">
                  <c:v>378.27687500000002</c:v>
                </c:pt>
                <c:pt idx="18">
                  <c:v>383.38312500000001</c:v>
                </c:pt>
                <c:pt idx="19">
                  <c:v>388.489375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36-49C7-8FB9-055AF6ECB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09615"/>
        <c:axId val="1"/>
      </c:lineChart>
      <c:catAx>
        <c:axId val="1167109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11730513157996"/>
              <c:y val="0.914558290973122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</a:t>
                </a:r>
              </a:p>
            </c:rich>
          </c:tx>
          <c:layout>
            <c:manualLayout>
              <c:xMode val="edge"/>
              <c:yMode val="edge"/>
              <c:x val="2.7859237536656891E-2"/>
              <c:y val="0.351266487258712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1671096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Serie storica originale e serie destagionalizzata</a:t>
            </a:r>
          </a:p>
        </c:rich>
      </c:tx>
      <c:layout>
        <c:manualLayout>
          <c:xMode val="edge"/>
          <c:yMode val="edge"/>
          <c:x val="0.37829942811400774"/>
          <c:y val="3.4810126582278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96490386508536"/>
          <c:y val="0.15189896889056456"/>
          <c:w val="0.84750793815577041"/>
          <c:h val="0.56645657148773032"/>
        </c:manualLayout>
      </c:layout>
      <c:lineChart>
        <c:grouping val="standard"/>
        <c:varyColors val="0"/>
        <c:ser>
          <c:idx val="0"/>
          <c:order val="0"/>
          <c:tx>
            <c:strRef>
              <c:f>Sum_to_zero!$C$5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Sum_to_zero!$B$6:$B$25</c:f>
              <c:strCache>
                <c:ptCount val="20"/>
                <c:pt idx="0">
                  <c:v>trim 1 2021</c:v>
                </c:pt>
                <c:pt idx="1">
                  <c:v>trim 2 2021</c:v>
                </c:pt>
                <c:pt idx="2">
                  <c:v>trim 3 2021</c:v>
                </c:pt>
                <c:pt idx="3">
                  <c:v>trim 4 2021</c:v>
                </c:pt>
                <c:pt idx="4">
                  <c:v>trim 1 2022</c:v>
                </c:pt>
                <c:pt idx="5">
                  <c:v>trim 2 2022</c:v>
                </c:pt>
                <c:pt idx="6">
                  <c:v>trim 3 2022</c:v>
                </c:pt>
                <c:pt idx="7">
                  <c:v>trim 4 2022</c:v>
                </c:pt>
                <c:pt idx="8">
                  <c:v>trim 1 2023</c:v>
                </c:pt>
                <c:pt idx="9">
                  <c:v>trim 2 2023</c:v>
                </c:pt>
                <c:pt idx="10">
                  <c:v>trim 3 2023</c:v>
                </c:pt>
                <c:pt idx="11">
                  <c:v>trim 4 2023</c:v>
                </c:pt>
                <c:pt idx="12">
                  <c:v>trim 1 2024</c:v>
                </c:pt>
                <c:pt idx="13">
                  <c:v>trim 2 2024</c:v>
                </c:pt>
                <c:pt idx="14">
                  <c:v>trim 3 2024</c:v>
                </c:pt>
                <c:pt idx="15">
                  <c:v>trim 4 2024</c:v>
                </c:pt>
                <c:pt idx="16">
                  <c:v>trim 1 2025</c:v>
                </c:pt>
                <c:pt idx="17">
                  <c:v>trim 2 2025</c:v>
                </c:pt>
                <c:pt idx="18">
                  <c:v>trim 3 2025</c:v>
                </c:pt>
                <c:pt idx="19">
                  <c:v>trim 4 2025</c:v>
                </c:pt>
              </c:strCache>
            </c:strRef>
          </c:cat>
          <c:val>
            <c:numRef>
              <c:f>Sum_to_zero!$C$6:$C$25</c:f>
              <c:numCache>
                <c:formatCode>0.0</c:formatCode>
                <c:ptCount val="20"/>
                <c:pt idx="0">
                  <c:v>254</c:v>
                </c:pt>
                <c:pt idx="1">
                  <c:v>292.39999999999998</c:v>
                </c:pt>
                <c:pt idx="2">
                  <c:v>297.8</c:v>
                </c:pt>
                <c:pt idx="3">
                  <c:v>330.3</c:v>
                </c:pt>
                <c:pt idx="4">
                  <c:v>291.10000000000002</c:v>
                </c:pt>
                <c:pt idx="5">
                  <c:v>327.60000000000002</c:v>
                </c:pt>
                <c:pt idx="6">
                  <c:v>321.2</c:v>
                </c:pt>
                <c:pt idx="7">
                  <c:v>354.3</c:v>
                </c:pt>
                <c:pt idx="8">
                  <c:v>304.60000000000002</c:v>
                </c:pt>
                <c:pt idx="9">
                  <c:v>348.4</c:v>
                </c:pt>
                <c:pt idx="10">
                  <c:v>350.8</c:v>
                </c:pt>
                <c:pt idx="11">
                  <c:v>374.2</c:v>
                </c:pt>
                <c:pt idx="12">
                  <c:v>319.5</c:v>
                </c:pt>
                <c:pt idx="13">
                  <c:v>361.5</c:v>
                </c:pt>
                <c:pt idx="14">
                  <c:v>369.4</c:v>
                </c:pt>
                <c:pt idx="15">
                  <c:v>395.2</c:v>
                </c:pt>
                <c:pt idx="16">
                  <c:v>332.6</c:v>
                </c:pt>
                <c:pt idx="17">
                  <c:v>383.5</c:v>
                </c:pt>
                <c:pt idx="18">
                  <c:v>383.8</c:v>
                </c:pt>
                <c:pt idx="19">
                  <c:v>407.4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45-40CA-8FCD-C3B1C1758E36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Sum_to_zero!$M$6:$M$25</c:f>
              <c:numCache>
                <c:formatCode>0.0000</c:formatCode>
                <c:ptCount val="20"/>
                <c:pt idx="0">
                  <c:v>285.96062500000011</c:v>
                </c:pt>
                <c:pt idx="1">
                  <c:v>287.14687499999991</c:v>
                </c:pt>
                <c:pt idx="2">
                  <c:v>295.73312499999986</c:v>
                </c:pt>
                <c:pt idx="3">
                  <c:v>305.65937500000007</c:v>
                </c:pt>
                <c:pt idx="4">
                  <c:v>323.06062500000013</c:v>
                </c:pt>
                <c:pt idx="5">
                  <c:v>322.34687499999995</c:v>
                </c:pt>
                <c:pt idx="6">
                  <c:v>319.13312499999984</c:v>
                </c:pt>
                <c:pt idx="7">
                  <c:v>329.65937500000007</c:v>
                </c:pt>
                <c:pt idx="8">
                  <c:v>336.56062500000013</c:v>
                </c:pt>
                <c:pt idx="9">
                  <c:v>343.14687499999991</c:v>
                </c:pt>
                <c:pt idx="10">
                  <c:v>348.73312499999986</c:v>
                </c:pt>
                <c:pt idx="11">
                  <c:v>349.55937500000005</c:v>
                </c:pt>
                <c:pt idx="12">
                  <c:v>351.46062500000011</c:v>
                </c:pt>
                <c:pt idx="13">
                  <c:v>356.24687499999993</c:v>
                </c:pt>
                <c:pt idx="14">
                  <c:v>367.33312499999982</c:v>
                </c:pt>
                <c:pt idx="15">
                  <c:v>370.55937500000005</c:v>
                </c:pt>
                <c:pt idx="16">
                  <c:v>364.56062500000013</c:v>
                </c:pt>
                <c:pt idx="17">
                  <c:v>378.24687499999993</c:v>
                </c:pt>
                <c:pt idx="18">
                  <c:v>381.73312499999986</c:v>
                </c:pt>
                <c:pt idx="19">
                  <c:v>382.75937500000003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45-40CA-8FCD-C3B1C1758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406351"/>
        <c:axId val="1"/>
      </c:lineChart>
      <c:catAx>
        <c:axId val="643406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Trimestri</a:t>
                </a:r>
              </a:p>
            </c:rich>
          </c:tx>
          <c:layout>
            <c:manualLayout>
              <c:xMode val="edge"/>
              <c:yMode val="edge"/>
              <c:x val="0.511730513157996"/>
              <c:y val="0.914558290973122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20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Vendite</a:t>
                </a:r>
              </a:p>
            </c:rich>
          </c:tx>
          <c:layout>
            <c:manualLayout>
              <c:xMode val="edge"/>
              <c:yMode val="edge"/>
              <c:x val="2.7859237536656891E-2"/>
              <c:y val="0.351266487258712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64340635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506730</xdr:colOff>
      <xdr:row>5</xdr:row>
      <xdr:rowOff>45720</xdr:rowOff>
    </xdr:from>
    <xdr:to>
      <xdr:col>25</xdr:col>
      <xdr:colOff>297180</xdr:colOff>
      <xdr:row>23</xdr:row>
      <xdr:rowOff>137160</xdr:rowOff>
    </xdr:to>
    <xdr:graphicFrame macro="">
      <xdr:nvGraphicFramePr>
        <xdr:cNvPr id="1057" name="Chart 9">
          <a:extLst>
            <a:ext uri="{FF2B5EF4-FFF2-40B4-BE49-F238E27FC236}">
              <a16:creationId xmlns:a16="http://schemas.microsoft.com/office/drawing/2014/main" id="{22B2378F-FEDF-62C5-D467-5899237CF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514350</xdr:colOff>
      <xdr:row>25</xdr:row>
      <xdr:rowOff>83820</xdr:rowOff>
    </xdr:from>
    <xdr:to>
      <xdr:col>25</xdr:col>
      <xdr:colOff>278130</xdr:colOff>
      <xdr:row>43</xdr:row>
      <xdr:rowOff>53340</xdr:rowOff>
    </xdr:to>
    <xdr:graphicFrame macro="">
      <xdr:nvGraphicFramePr>
        <xdr:cNvPr id="1058" name="Chart 10">
          <a:extLst>
            <a:ext uri="{FF2B5EF4-FFF2-40B4-BE49-F238E27FC236}">
              <a16:creationId xmlns:a16="http://schemas.microsoft.com/office/drawing/2014/main" id="{21415886-76D6-B883-4C01-9BC0FABE0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525780</xdr:colOff>
      <xdr:row>45</xdr:row>
      <xdr:rowOff>0</xdr:rowOff>
    </xdr:from>
    <xdr:to>
      <xdr:col>25</xdr:col>
      <xdr:colOff>285750</xdr:colOff>
      <xdr:row>62</xdr:row>
      <xdr:rowOff>129540</xdr:rowOff>
    </xdr:to>
    <xdr:graphicFrame macro="">
      <xdr:nvGraphicFramePr>
        <xdr:cNvPr id="1059" name="Chart 11">
          <a:extLst>
            <a:ext uri="{FF2B5EF4-FFF2-40B4-BE49-F238E27FC236}">
              <a16:creationId xmlns:a16="http://schemas.microsoft.com/office/drawing/2014/main" id="{C3F3489E-0FA3-57AF-4647-B4B2DA704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525780</xdr:colOff>
      <xdr:row>63</xdr:row>
      <xdr:rowOff>144780</xdr:rowOff>
    </xdr:from>
    <xdr:to>
      <xdr:col>25</xdr:col>
      <xdr:colOff>285750</xdr:colOff>
      <xdr:row>80</xdr:row>
      <xdr:rowOff>110490</xdr:rowOff>
    </xdr:to>
    <xdr:graphicFrame macro="">
      <xdr:nvGraphicFramePr>
        <xdr:cNvPr id="1060" name="Chart 12">
          <a:extLst>
            <a:ext uri="{FF2B5EF4-FFF2-40B4-BE49-F238E27FC236}">
              <a16:creationId xmlns:a16="http://schemas.microsoft.com/office/drawing/2014/main" id="{AE4472BF-8B4F-599F-BC7E-029AF64E8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59</xdr:row>
      <xdr:rowOff>83820</xdr:rowOff>
    </xdr:from>
    <xdr:to>
      <xdr:col>7</xdr:col>
      <xdr:colOff>278130</xdr:colOff>
      <xdr:row>79</xdr:row>
      <xdr:rowOff>19050</xdr:rowOff>
    </xdr:to>
    <xdr:sp macro="" textlink="">
      <xdr:nvSpPr>
        <xdr:cNvPr id="1061" name="Line 13">
          <a:extLst>
            <a:ext uri="{FF2B5EF4-FFF2-40B4-BE49-F238E27FC236}">
              <a16:creationId xmlns:a16="http://schemas.microsoft.com/office/drawing/2014/main" id="{96098158-69E8-12C9-D5B0-85C400851A8F}"/>
            </a:ext>
          </a:extLst>
        </xdr:cNvPr>
        <xdr:cNvSpPr>
          <a:spLocks noChangeShapeType="1"/>
        </xdr:cNvSpPr>
      </xdr:nvSpPr>
      <xdr:spPr bwMode="auto">
        <a:xfrm>
          <a:off x="3718560" y="10382250"/>
          <a:ext cx="1497330" cy="309372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1127760</xdr:colOff>
      <xdr:row>88</xdr:row>
      <xdr:rowOff>110490</xdr:rowOff>
    </xdr:from>
    <xdr:to>
      <xdr:col>15</xdr:col>
      <xdr:colOff>76200</xdr:colOff>
      <xdr:row>123</xdr:row>
      <xdr:rowOff>45720</xdr:rowOff>
    </xdr:to>
    <xdr:grpSp>
      <xdr:nvGrpSpPr>
        <xdr:cNvPr id="1062" name="Group 22">
          <a:extLst>
            <a:ext uri="{FF2B5EF4-FFF2-40B4-BE49-F238E27FC236}">
              <a16:creationId xmlns:a16="http://schemas.microsoft.com/office/drawing/2014/main" id="{F3FB034C-435C-5478-CF78-2B34DD2C258F}"/>
            </a:ext>
          </a:extLst>
        </xdr:cNvPr>
        <xdr:cNvGrpSpPr>
          <a:grpSpLocks/>
        </xdr:cNvGrpSpPr>
      </xdr:nvGrpSpPr>
      <xdr:grpSpPr bwMode="auto">
        <a:xfrm>
          <a:off x="9295814" y="14934321"/>
          <a:ext cx="3658186" cy="5922791"/>
          <a:chOff x="916" y="1625"/>
          <a:chExt cx="379" cy="644"/>
        </a:xfrm>
      </xdr:grpSpPr>
      <xdr:grpSp>
        <xdr:nvGrpSpPr>
          <xdr:cNvPr id="1064" name="Group 18">
            <a:extLst>
              <a:ext uri="{FF2B5EF4-FFF2-40B4-BE49-F238E27FC236}">
                <a16:creationId xmlns:a16="http://schemas.microsoft.com/office/drawing/2014/main" id="{77753B23-B543-A50A-11FD-448408324F47}"/>
              </a:ext>
            </a:extLst>
          </xdr:cNvPr>
          <xdr:cNvGrpSpPr>
            <a:grpSpLocks/>
          </xdr:cNvGrpSpPr>
        </xdr:nvGrpSpPr>
        <xdr:grpSpPr bwMode="auto">
          <a:xfrm>
            <a:off x="916" y="1625"/>
            <a:ext cx="379" cy="644"/>
            <a:chOff x="916" y="1625"/>
            <a:chExt cx="379" cy="616"/>
          </a:xfrm>
        </xdr:grpSpPr>
        <xdr:pic>
          <xdr:nvPicPr>
            <xdr:cNvPr id="1066" name="Picture 15">
              <a:extLst>
                <a:ext uri="{FF2B5EF4-FFF2-40B4-BE49-F238E27FC236}">
                  <a16:creationId xmlns:a16="http://schemas.microsoft.com/office/drawing/2014/main" id="{C24C36AE-E40D-7E71-6A21-30B8E0508E4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921" y="1701"/>
              <a:ext cx="361" cy="54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040" name="Text Box 16">
              <a:extLst>
                <a:ext uri="{FF2B5EF4-FFF2-40B4-BE49-F238E27FC236}">
                  <a16:creationId xmlns:a16="http://schemas.microsoft.com/office/drawing/2014/main" id="{32EEFFB6-97CF-91AC-F50E-8E16B8D2945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6" y="1625"/>
              <a:ext cx="379" cy="63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0" anchor="t" upright="1"/>
            <a:lstStyle/>
            <a:p>
              <a:pPr algn="l" rtl="1">
                <a:defRPr sz="1000"/>
              </a:pPr>
              <a:r>
                <a:rPr lang="it-IT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                 </a:t>
              </a:r>
              <a:r>
                <a:rPr lang="it-IT" sz="14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Livello di significatività 1%</a:t>
              </a:r>
              <a:endParaRPr lang="it-IT" sz="10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  <a:p>
              <a:pPr algn="l" rtl="1">
                <a:defRPr sz="1000"/>
              </a:pPr>
              <a:r>
                <a:rPr lang="it-IT" sz="10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        </a:t>
              </a:r>
              <a:r>
                <a:rPr lang="it-IT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k=2         k=3           k=4         </a:t>
              </a:r>
              <a:r>
                <a:rPr lang="it-IT" sz="12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 k=5    </a:t>
              </a:r>
              <a:r>
                <a:rPr lang="it-IT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      k=6</a:t>
              </a:r>
            </a:p>
          </xdr:txBody>
        </xdr:sp>
      </xdr:grpSp>
      <xdr:sp macro="" textlink="">
        <xdr:nvSpPr>
          <xdr:cNvPr id="1065" name="Oval 19">
            <a:extLst>
              <a:ext uri="{FF2B5EF4-FFF2-40B4-BE49-F238E27FC236}">
                <a16:creationId xmlns:a16="http://schemas.microsoft.com/office/drawing/2014/main" id="{E7955EB3-FFE9-B3B1-5A73-B73EFDB2920F}"/>
              </a:ext>
            </a:extLst>
          </xdr:cNvPr>
          <xdr:cNvSpPr>
            <a:spLocks noChangeArrowheads="1"/>
          </xdr:cNvSpPr>
        </xdr:nvSpPr>
        <xdr:spPr bwMode="auto">
          <a:xfrm>
            <a:off x="1148" y="1802"/>
            <a:ext cx="70" cy="15"/>
          </a:xfrm>
          <a:prstGeom prst="ellipse">
            <a:avLst/>
          </a:prstGeom>
          <a:solidFill>
            <a:srgbClr val="FFFFFF">
              <a:alpha val="0"/>
            </a:srgbClr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26</xdr:col>
      <xdr:colOff>430530</xdr:colOff>
      <xdr:row>5</xdr:row>
      <xdr:rowOff>87630</xdr:rowOff>
    </xdr:from>
    <xdr:to>
      <xdr:col>37</xdr:col>
      <xdr:colOff>220980</xdr:colOff>
      <xdr:row>24</xdr:row>
      <xdr:rowOff>26670</xdr:rowOff>
    </xdr:to>
    <xdr:graphicFrame macro="">
      <xdr:nvGraphicFramePr>
        <xdr:cNvPr id="1063" name="Chart 9">
          <a:extLst>
            <a:ext uri="{FF2B5EF4-FFF2-40B4-BE49-F238E27FC236}">
              <a16:creationId xmlns:a16="http://schemas.microsoft.com/office/drawing/2014/main" id="{50B42A19-0DC0-5E0F-DB4E-EFBEE7153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94</xdr:row>
          <xdr:rowOff>72390</xdr:rowOff>
        </xdr:from>
        <xdr:to>
          <xdr:col>6</xdr:col>
          <xdr:colOff>435219</xdr:colOff>
          <xdr:row>102</xdr:row>
          <xdr:rowOff>118110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D6043221-56B5-6CA8-773C-DE023F9EDC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548640</xdr:colOff>
      <xdr:row>6</xdr:row>
      <xdr:rowOff>72390</xdr:rowOff>
    </xdr:from>
    <xdr:to>
      <xdr:col>23</xdr:col>
      <xdr:colOff>323850</xdr:colOff>
      <xdr:row>25</xdr:row>
      <xdr:rowOff>7620</xdr:rowOff>
    </xdr:to>
    <xdr:graphicFrame macro="">
      <xdr:nvGraphicFramePr>
        <xdr:cNvPr id="3088" name="Chart 1">
          <a:extLst>
            <a:ext uri="{FF2B5EF4-FFF2-40B4-BE49-F238E27FC236}">
              <a16:creationId xmlns:a16="http://schemas.microsoft.com/office/drawing/2014/main" id="{E0D5FDD9-DB8D-05FF-5004-6F8BE3307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11430</xdr:colOff>
      <xdr:row>62</xdr:row>
      <xdr:rowOff>38100</xdr:rowOff>
    </xdr:from>
    <xdr:to>
      <xdr:col>9</xdr:col>
      <xdr:colOff>171450</xdr:colOff>
      <xdr:row>65</xdr:row>
      <xdr:rowOff>121920</xdr:rowOff>
    </xdr:to>
    <xdr:pic>
      <xdr:nvPicPr>
        <xdr:cNvPr id="3089" name="Picture 4">
          <a:extLst>
            <a:ext uri="{FF2B5EF4-FFF2-40B4-BE49-F238E27FC236}">
              <a16:creationId xmlns:a16="http://schemas.microsoft.com/office/drawing/2014/main" id="{7AB0D441-FA10-6965-8E9E-DE2E284C7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0"/>
        <a:stretch>
          <a:fillRect/>
        </a:stretch>
      </xdr:blipFill>
      <xdr:spPr bwMode="auto">
        <a:xfrm>
          <a:off x="1394460" y="11388090"/>
          <a:ext cx="5173980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499110</xdr:colOff>
      <xdr:row>79</xdr:row>
      <xdr:rowOff>91440</xdr:rowOff>
    </xdr:from>
    <xdr:to>
      <xdr:col>9</xdr:col>
      <xdr:colOff>308610</xdr:colOff>
      <xdr:row>84</xdr:row>
      <xdr:rowOff>72390</xdr:rowOff>
    </xdr:to>
    <xdr:pic>
      <xdr:nvPicPr>
        <xdr:cNvPr id="3090" name="Picture 5">
          <a:extLst>
            <a:ext uri="{FF2B5EF4-FFF2-40B4-BE49-F238E27FC236}">
              <a16:creationId xmlns:a16="http://schemas.microsoft.com/office/drawing/2014/main" id="{4DF6408C-D033-9AB7-7E61-D35F726C8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" y="14378940"/>
          <a:ext cx="559689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57150</xdr:colOff>
          <xdr:row>88</xdr:row>
          <xdr:rowOff>7620</xdr:rowOff>
        </xdr:from>
        <xdr:to>
          <xdr:col>12</xdr:col>
          <xdr:colOff>11430</xdr:colOff>
          <xdr:row>93</xdr:row>
          <xdr:rowOff>45720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32BA9AC-B3D7-F3C9-8015-27F9F7FE4C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30480</xdr:colOff>
          <xdr:row>83</xdr:row>
          <xdr:rowOff>19050</xdr:rowOff>
        </xdr:from>
        <xdr:to>
          <xdr:col>11</xdr:col>
          <xdr:colOff>849630</xdr:colOff>
          <xdr:row>86</xdr:row>
          <xdr:rowOff>7620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11591EBA-7051-6066-C004-18E4484142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601980</xdr:colOff>
          <xdr:row>78</xdr:row>
          <xdr:rowOff>7620</xdr:rowOff>
        </xdr:from>
        <xdr:to>
          <xdr:col>11</xdr:col>
          <xdr:colOff>830580</xdr:colOff>
          <xdr:row>81</xdr:row>
          <xdr:rowOff>19050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C56E844A-7CEC-6B60-D7EA-EDF89D61D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842010</xdr:colOff>
          <xdr:row>95</xdr:row>
          <xdr:rowOff>64770</xdr:rowOff>
        </xdr:from>
        <xdr:to>
          <xdr:col>11</xdr:col>
          <xdr:colOff>685800</xdr:colOff>
          <xdr:row>99</xdr:row>
          <xdr:rowOff>137160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9E8FA533-D4AA-15F3-576B-95A25702FA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156210</xdr:colOff>
          <xdr:row>102</xdr:row>
          <xdr:rowOff>72390</xdr:rowOff>
        </xdr:from>
        <xdr:to>
          <xdr:col>11</xdr:col>
          <xdr:colOff>461010</xdr:colOff>
          <xdr:row>106</xdr:row>
          <xdr:rowOff>137160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D61C09BC-8A1A-2709-C95C-13218CF52F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11430</xdr:colOff>
          <xdr:row>109</xdr:row>
          <xdr:rowOff>45720</xdr:rowOff>
        </xdr:from>
        <xdr:to>
          <xdr:col>11</xdr:col>
          <xdr:colOff>567690</xdr:colOff>
          <xdr:row>113</xdr:row>
          <xdr:rowOff>102870</xdr:rowOff>
        </xdr:to>
        <xdr:sp macro="" textlink="">
          <xdr:nvSpPr>
            <xdr:cNvPr id="3083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C7F83DF4-28F4-2872-E94A-3CE59C7710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106680</xdr:colOff>
          <xdr:row>114</xdr:row>
          <xdr:rowOff>137160</xdr:rowOff>
        </xdr:from>
        <xdr:to>
          <xdr:col>11</xdr:col>
          <xdr:colOff>685800</xdr:colOff>
          <xdr:row>120</xdr:row>
          <xdr:rowOff>72390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EEEA06EC-AF6C-6D9D-A381-7265449AB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323850</xdr:colOff>
      <xdr:row>6</xdr:row>
      <xdr:rowOff>83820</xdr:rowOff>
    </xdr:from>
    <xdr:to>
      <xdr:col>37</xdr:col>
      <xdr:colOff>87630</xdr:colOff>
      <xdr:row>24</xdr:row>
      <xdr:rowOff>148590</xdr:rowOff>
    </xdr:to>
    <xdr:graphicFrame macro="">
      <xdr:nvGraphicFramePr>
        <xdr:cNvPr id="14370" name="Chart 10">
          <a:extLst>
            <a:ext uri="{FF2B5EF4-FFF2-40B4-BE49-F238E27FC236}">
              <a16:creationId xmlns:a16="http://schemas.microsoft.com/office/drawing/2014/main" id="{E8F37FE8-BF9D-AF99-DB0F-80CB3588F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392430</xdr:colOff>
      <xdr:row>25</xdr:row>
      <xdr:rowOff>118110</xdr:rowOff>
    </xdr:from>
    <xdr:to>
      <xdr:col>37</xdr:col>
      <xdr:colOff>152400</xdr:colOff>
      <xdr:row>44</xdr:row>
      <xdr:rowOff>91440</xdr:rowOff>
    </xdr:to>
    <xdr:graphicFrame macro="">
      <xdr:nvGraphicFramePr>
        <xdr:cNvPr id="14371" name="Chart 11">
          <a:extLst>
            <a:ext uri="{FF2B5EF4-FFF2-40B4-BE49-F238E27FC236}">
              <a16:creationId xmlns:a16="http://schemas.microsoft.com/office/drawing/2014/main" id="{CAC646D9-9EEF-4FF7-14A8-CC3C3E933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316230</xdr:colOff>
      <xdr:row>46</xdr:row>
      <xdr:rowOff>19050</xdr:rowOff>
    </xdr:from>
    <xdr:to>
      <xdr:col>32</xdr:col>
      <xdr:colOff>76200</xdr:colOff>
      <xdr:row>62</xdr:row>
      <xdr:rowOff>38100</xdr:rowOff>
    </xdr:to>
    <xdr:graphicFrame macro="">
      <xdr:nvGraphicFramePr>
        <xdr:cNvPr id="14372" name="Chart 12">
          <a:extLst>
            <a:ext uri="{FF2B5EF4-FFF2-40B4-BE49-F238E27FC236}">
              <a16:creationId xmlns:a16="http://schemas.microsoft.com/office/drawing/2014/main" id="{30399A7E-DAE8-270A-4241-80FEB34C4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468630</xdr:colOff>
      <xdr:row>6</xdr:row>
      <xdr:rowOff>91440</xdr:rowOff>
    </xdr:from>
    <xdr:to>
      <xdr:col>26</xdr:col>
      <xdr:colOff>259080</xdr:colOff>
      <xdr:row>25</xdr:row>
      <xdr:rowOff>26670</xdr:rowOff>
    </xdr:to>
    <xdr:graphicFrame macro="">
      <xdr:nvGraphicFramePr>
        <xdr:cNvPr id="14373" name="Chart 9">
          <a:extLst>
            <a:ext uri="{FF2B5EF4-FFF2-40B4-BE49-F238E27FC236}">
              <a16:creationId xmlns:a16="http://schemas.microsoft.com/office/drawing/2014/main" id="{3A3BCE2A-6B19-77FC-CC2C-6DAE0D7AB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419100</xdr:colOff>
      <xdr:row>25</xdr:row>
      <xdr:rowOff>118110</xdr:rowOff>
    </xdr:from>
    <xdr:to>
      <xdr:col>26</xdr:col>
      <xdr:colOff>209550</xdr:colOff>
      <xdr:row>44</xdr:row>
      <xdr:rowOff>53340</xdr:rowOff>
    </xdr:to>
    <xdr:graphicFrame macro="">
      <xdr:nvGraphicFramePr>
        <xdr:cNvPr id="14374" name="Chart 9">
          <a:extLst>
            <a:ext uri="{FF2B5EF4-FFF2-40B4-BE49-F238E27FC236}">
              <a16:creationId xmlns:a16="http://schemas.microsoft.com/office/drawing/2014/main" id="{0772D8E2-49D3-1382-DCB7-B22CFFD1E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5</xdr:row>
      <xdr:rowOff>100965</xdr:rowOff>
    </xdr:from>
    <xdr:to>
      <xdr:col>17</xdr:col>
      <xdr:colOff>152400</xdr:colOff>
      <xdr:row>44</xdr:row>
      <xdr:rowOff>100965</xdr:rowOff>
    </xdr:to>
    <xdr:sp macro="" textlink="">
      <xdr:nvSpPr>
        <xdr:cNvPr id="2052" name="Text Box 1">
          <a:extLst>
            <a:ext uri="{FF2B5EF4-FFF2-40B4-BE49-F238E27FC236}">
              <a16:creationId xmlns:a16="http://schemas.microsoft.com/office/drawing/2014/main" id="{513DBE7B-12B2-D5E4-B01E-52A316D2DEC3}"/>
            </a:ext>
          </a:extLst>
        </xdr:cNvPr>
        <xdr:cNvSpPr txBox="1">
          <a:spLocks noChangeArrowheads="1"/>
        </xdr:cNvSpPr>
      </xdr:nvSpPr>
      <xdr:spPr bwMode="auto">
        <a:xfrm>
          <a:off x="2143125" y="1047750"/>
          <a:ext cx="8372475" cy="6315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1) Rapprentare l'andamento della serie storica nel periodo considerato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2) Utilizzando la funzione regr.lin stimare i parametri di un modello di regressione lineare multiplo che spieghi l'andamento delle vendite con un trend lineare e un effetto dovuto alla stagionalità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3) Stimare i coefficienti del modello di regressione quando nella matrice X si esclude l'intercetta (prima parametrizzazione) oppure il livello associato alla stagione invernale (seconda parametrizzazione)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4) Confrontare ed interpretare le stime dei coefficienti di regressione per entrambe le parametrizzazioni 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5) Cosruire e commentare la serie dei valori stimati per entrambe le parametrizzazioni 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6) Calcolare per entrambe le parametrizzazioni la serie a) destagionalizzata b) detrendizzata c) destagionalizzata e detrendizzata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7) Rappresentare graficamente a) i valori effettivi ed i valori teorici b) la serie destagionalizzata c) la serie detrendizzata d) la serie destagionalizzata e detrendizzata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8) Testare la presenza del trend e verificare il risultato con il componente aggiuntivo "analisi dati"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9) Verificare con il test di Durbin e Watson la presenza di autocorrelazione nei  residui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10) Testare la presenza della componente stagionale (verificare che si può applicare indifferemente una delle due formule (1.44) e (1.41)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11) Imporre il vincolo di somma a zero dei coefficienti stagionali. Adottando questo vincolo calcolare: la stima della componente stagionale, la serie destagionalizzata, la stima del trend, la serie detrendizzata e la serie destagionalizzata e detrendizzata. 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Rappresentare graficamente: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a) la serie storica originaria e la stima del trend.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b) la serie detrendizzata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c) la serie storica originaria e la stima della serie destagionalizzata</a:t>
          </a:r>
        </a:p>
        <a:p>
          <a:pPr algn="l" rtl="0">
            <a:defRPr sz="1000"/>
          </a:pPr>
          <a:r>
            <a:rPr lang="it-IT" sz="1400" b="1" i="0" strike="noStrike">
              <a:solidFill>
                <a:srgbClr val="000000"/>
              </a:solidFill>
              <a:latin typeface="Arial"/>
              <a:cs typeface="Arial"/>
            </a:rPr>
            <a:t>d) la serie destagionalizzata</a:t>
          </a:r>
        </a:p>
        <a:p>
          <a:pPr algn="l" rtl="0">
            <a:defRPr sz="1000"/>
          </a:pPr>
          <a:endParaRPr lang="it-IT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10</xdr:col>
      <xdr:colOff>354330</xdr:colOff>
      <xdr:row>48</xdr:row>
      <xdr:rowOff>137160</xdr:rowOff>
    </xdr:from>
    <xdr:to>
      <xdr:col>19</xdr:col>
      <xdr:colOff>342900</xdr:colOff>
      <xdr:row>53</xdr:row>
      <xdr:rowOff>118110</xdr:rowOff>
    </xdr:to>
    <xdr:pic>
      <xdr:nvPicPr>
        <xdr:cNvPr id="2056" name="Picture 2">
          <a:extLst>
            <a:ext uri="{FF2B5EF4-FFF2-40B4-BE49-F238E27FC236}">
              <a16:creationId xmlns:a16="http://schemas.microsoft.com/office/drawing/2014/main" id="{1A211EE1-37A0-3998-CA7C-21A027721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0330" y="7760970"/>
          <a:ext cx="547497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544830</xdr:colOff>
      <xdr:row>49</xdr:row>
      <xdr:rowOff>45720</xdr:rowOff>
    </xdr:from>
    <xdr:to>
      <xdr:col>10</xdr:col>
      <xdr:colOff>171450</xdr:colOff>
      <xdr:row>53</xdr:row>
      <xdr:rowOff>91440</xdr:rowOff>
    </xdr:to>
    <xdr:pic>
      <xdr:nvPicPr>
        <xdr:cNvPr id="2057" name="Picture 3">
          <a:extLst>
            <a:ext uri="{FF2B5EF4-FFF2-40B4-BE49-F238E27FC236}">
              <a16:creationId xmlns:a16="http://schemas.microsoft.com/office/drawing/2014/main" id="{6D32B61C-5031-03E6-B958-1A45AD062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" y="7825740"/>
          <a:ext cx="511302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image" Target="../media/image7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12" Type="http://schemas.openxmlformats.org/officeDocument/2006/relationships/oleObject" Target="../embeddings/oleObject6.bin"/><Relationship Id="rId17" Type="http://schemas.openxmlformats.org/officeDocument/2006/relationships/image" Target="../media/image9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oleObject8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11" Type="http://schemas.openxmlformats.org/officeDocument/2006/relationships/image" Target="../media/image6.emf"/><Relationship Id="rId5" Type="http://schemas.openxmlformats.org/officeDocument/2006/relationships/image" Target="../media/image3.emf"/><Relationship Id="rId15" Type="http://schemas.openxmlformats.org/officeDocument/2006/relationships/image" Target="../media/image8.emf"/><Relationship Id="rId10" Type="http://schemas.openxmlformats.org/officeDocument/2006/relationships/oleObject" Target="../embeddings/oleObject5.bin"/><Relationship Id="rId4" Type="http://schemas.openxmlformats.org/officeDocument/2006/relationships/oleObject" Target="../embeddings/oleObject2.bin"/><Relationship Id="rId9" Type="http://schemas.openxmlformats.org/officeDocument/2006/relationships/image" Target="../media/image5.emf"/><Relationship Id="rId14" Type="http://schemas.openxmlformats.org/officeDocument/2006/relationships/oleObject" Target="../embeddings/oleObject7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3B3D-6378-4C62-A502-9383770441A5}">
  <dimension ref="B1:M277"/>
  <sheetViews>
    <sheetView zoomScale="130" zoomScaleNormal="130" workbookViewId="0">
      <selection activeCell="D4" sqref="D4"/>
    </sheetView>
  </sheetViews>
  <sheetFormatPr defaultRowHeight="12.3" x14ac:dyDescent="0.4"/>
  <cols>
    <col min="2" max="2" width="11.27734375" customWidth="1"/>
    <col min="3" max="3" width="12.71875" customWidth="1"/>
    <col min="5" max="5" width="12.44140625" bestFit="1" customWidth="1"/>
    <col min="6" max="6" width="15.0546875" customWidth="1"/>
    <col min="10" max="10" width="23.1640625" customWidth="1"/>
    <col min="11" max="11" width="20.83203125" customWidth="1"/>
    <col min="12" max="12" width="21.1640625" customWidth="1"/>
  </cols>
  <sheetData>
    <row r="1" spans="2:13" ht="12.75" customHeight="1" x14ac:dyDescent="0.4"/>
    <row r="2" spans="2:13" ht="12.75" customHeight="1" x14ac:dyDescent="0.4">
      <c r="C2" t="s">
        <v>12</v>
      </c>
    </row>
    <row r="4" spans="2:13" ht="24.75" customHeight="1" x14ac:dyDescent="0.6">
      <c r="D4" s="7" t="s">
        <v>21</v>
      </c>
    </row>
    <row r="5" spans="2:13" ht="71.25" customHeight="1" x14ac:dyDescent="0.5">
      <c r="B5" s="6" t="s">
        <v>6</v>
      </c>
      <c r="C5" s="6" t="s">
        <v>0</v>
      </c>
      <c r="D5" s="6" t="s">
        <v>4</v>
      </c>
      <c r="E5" s="6" t="s">
        <v>107</v>
      </c>
      <c r="F5" s="6" t="s">
        <v>108</v>
      </c>
      <c r="G5" s="6" t="s">
        <v>109</v>
      </c>
      <c r="H5" s="6" t="s">
        <v>110</v>
      </c>
      <c r="I5" s="6" t="s">
        <v>11</v>
      </c>
      <c r="J5" s="6" t="s">
        <v>13</v>
      </c>
      <c r="K5" s="6" t="s">
        <v>14</v>
      </c>
      <c r="L5" s="6" t="s">
        <v>15</v>
      </c>
      <c r="M5" s="6" t="s">
        <v>68</v>
      </c>
    </row>
    <row r="6" spans="2:13" ht="12.75" customHeight="1" x14ac:dyDescent="0.4">
      <c r="B6" t="s">
        <v>83</v>
      </c>
      <c r="C6" s="2">
        <v>254</v>
      </c>
      <c r="D6" s="3">
        <v>1</v>
      </c>
      <c r="E6">
        <v>1</v>
      </c>
      <c r="F6">
        <v>0</v>
      </c>
      <c r="G6">
        <v>0</v>
      </c>
      <c r="H6">
        <v>0</v>
      </c>
      <c r="I6" s="3">
        <f t="shared" ref="I6:I25" si="0">MMULT(D6:H6,K$33:K$37)</f>
        <v>259.50999999999982</v>
      </c>
      <c r="J6">
        <f t="shared" ref="J6:J25" si="1">C6-D6*K$33</f>
        <v>248.89374999999998</v>
      </c>
      <c r="K6" s="8">
        <f t="shared" ref="K6:K25" si="2">C6-MMULT(E6:H6,K$34:K$37)</f>
        <v>-0.40374999999983174</v>
      </c>
      <c r="L6" s="2">
        <f>C6-I6</f>
        <v>-5.5099999999998204</v>
      </c>
    </row>
    <row r="7" spans="2:13" x14ac:dyDescent="0.4">
      <c r="B7" t="s">
        <v>84</v>
      </c>
      <c r="C7" s="2">
        <v>292.39999999999998</v>
      </c>
      <c r="D7" s="3">
        <v>2</v>
      </c>
      <c r="E7">
        <v>0</v>
      </c>
      <c r="F7">
        <v>1</v>
      </c>
      <c r="G7">
        <v>0</v>
      </c>
      <c r="H7">
        <v>0</v>
      </c>
      <c r="I7" s="3">
        <f t="shared" si="0"/>
        <v>301.83000000000004</v>
      </c>
      <c r="J7">
        <f t="shared" si="1"/>
        <v>282.18749999999994</v>
      </c>
      <c r="K7" s="2">
        <f t="shared" si="2"/>
        <v>0.78249999999997044</v>
      </c>
      <c r="L7" s="2">
        <f t="shared" ref="L7:L25" si="3">C7-I7</f>
        <v>-9.4300000000000637</v>
      </c>
      <c r="M7" s="2">
        <f>L7-L6</f>
        <v>-3.9200000000002433</v>
      </c>
    </row>
    <row r="8" spans="2:13" x14ac:dyDescent="0.4">
      <c r="B8" t="s">
        <v>85</v>
      </c>
      <c r="C8" s="2">
        <v>297.8</v>
      </c>
      <c r="D8" s="3">
        <v>3</v>
      </c>
      <c r="E8">
        <v>0</v>
      </c>
      <c r="F8">
        <v>0</v>
      </c>
      <c r="G8">
        <v>1</v>
      </c>
      <c r="H8">
        <v>0</v>
      </c>
      <c r="I8" s="3">
        <f t="shared" si="0"/>
        <v>303.75000000000011</v>
      </c>
      <c r="J8">
        <f t="shared" si="1"/>
        <v>282.48124999999999</v>
      </c>
      <c r="K8" s="2">
        <f t="shared" si="2"/>
        <v>9.3687499999999204</v>
      </c>
      <c r="L8" s="2">
        <f t="shared" si="3"/>
        <v>-5.9500000000001023</v>
      </c>
      <c r="M8" s="2">
        <f t="shared" ref="M8:M25" si="4">L8-L7</f>
        <v>3.4799999999999613</v>
      </c>
    </row>
    <row r="9" spans="2:13" x14ac:dyDescent="0.4">
      <c r="B9" t="s">
        <v>86</v>
      </c>
      <c r="C9" s="2">
        <v>330.3</v>
      </c>
      <c r="D9" s="3">
        <v>4</v>
      </c>
      <c r="E9">
        <v>0</v>
      </c>
      <c r="F9">
        <v>0</v>
      </c>
      <c r="G9">
        <v>0</v>
      </c>
      <c r="H9">
        <v>1</v>
      </c>
      <c r="I9" s="3">
        <f t="shared" si="0"/>
        <v>331.42999999999989</v>
      </c>
      <c r="J9">
        <f t="shared" si="1"/>
        <v>309.875</v>
      </c>
      <c r="K9" s="2">
        <f t="shared" si="2"/>
        <v>19.29500000000013</v>
      </c>
      <c r="L9" s="2">
        <f t="shared" si="3"/>
        <v>-1.1299999999998818</v>
      </c>
      <c r="M9" s="2">
        <f t="shared" si="4"/>
        <v>4.8200000000002206</v>
      </c>
    </row>
    <row r="10" spans="2:13" x14ac:dyDescent="0.4">
      <c r="B10" t="s">
        <v>87</v>
      </c>
      <c r="C10" s="2">
        <v>291.10000000000002</v>
      </c>
      <c r="D10" s="3">
        <v>5</v>
      </c>
      <c r="E10">
        <v>1</v>
      </c>
      <c r="F10">
        <v>0</v>
      </c>
      <c r="G10">
        <v>0</v>
      </c>
      <c r="H10">
        <v>0</v>
      </c>
      <c r="I10" s="3">
        <f t="shared" si="0"/>
        <v>279.93499999999983</v>
      </c>
      <c r="J10">
        <f t="shared" si="1"/>
        <v>265.56875000000002</v>
      </c>
      <c r="K10" s="2">
        <f t="shared" si="2"/>
        <v>36.696250000000191</v>
      </c>
      <c r="L10" s="2">
        <f t="shared" si="3"/>
        <v>11.165000000000191</v>
      </c>
      <c r="M10" s="2">
        <f t="shared" si="4"/>
        <v>12.295000000000073</v>
      </c>
    </row>
    <row r="11" spans="2:13" x14ac:dyDescent="0.4">
      <c r="B11" t="s">
        <v>88</v>
      </c>
      <c r="C11" s="2">
        <v>327.60000000000002</v>
      </c>
      <c r="D11" s="3">
        <v>6</v>
      </c>
      <c r="E11">
        <v>0</v>
      </c>
      <c r="F11">
        <v>1</v>
      </c>
      <c r="G11">
        <v>0</v>
      </c>
      <c r="H11">
        <v>0</v>
      </c>
      <c r="I11" s="3">
        <f t="shared" si="0"/>
        <v>322.25500000000005</v>
      </c>
      <c r="J11">
        <f t="shared" si="1"/>
        <v>296.96249999999998</v>
      </c>
      <c r="K11" s="2">
        <f t="shared" si="2"/>
        <v>35.982500000000016</v>
      </c>
      <c r="L11" s="2">
        <f t="shared" si="3"/>
        <v>5.3449999999999704</v>
      </c>
      <c r="M11" s="2">
        <f t="shared" si="4"/>
        <v>-5.8200000000002206</v>
      </c>
    </row>
    <row r="12" spans="2:13" x14ac:dyDescent="0.4">
      <c r="B12" t="s">
        <v>89</v>
      </c>
      <c r="C12" s="2">
        <v>321.2</v>
      </c>
      <c r="D12" s="3">
        <v>7</v>
      </c>
      <c r="E12">
        <v>0</v>
      </c>
      <c r="F12">
        <v>0</v>
      </c>
      <c r="G12">
        <v>1</v>
      </c>
      <c r="H12">
        <v>0</v>
      </c>
      <c r="I12" s="3">
        <f t="shared" si="0"/>
        <v>324.17500000000013</v>
      </c>
      <c r="J12">
        <f t="shared" si="1"/>
        <v>285.45624999999995</v>
      </c>
      <c r="K12" s="2">
        <f t="shared" si="2"/>
        <v>32.768749999999898</v>
      </c>
      <c r="L12" s="2">
        <f t="shared" si="3"/>
        <v>-2.9750000000001364</v>
      </c>
      <c r="M12" s="2">
        <f t="shared" si="4"/>
        <v>-8.3200000000001069</v>
      </c>
    </row>
    <row r="13" spans="2:13" x14ac:dyDescent="0.4">
      <c r="B13" t="s">
        <v>90</v>
      </c>
      <c r="C13" s="2">
        <v>354.3</v>
      </c>
      <c r="D13" s="3">
        <v>8</v>
      </c>
      <c r="E13">
        <v>0</v>
      </c>
      <c r="F13">
        <v>0</v>
      </c>
      <c r="G13">
        <v>0</v>
      </c>
      <c r="H13">
        <v>1</v>
      </c>
      <c r="I13" s="3">
        <f t="shared" si="0"/>
        <v>351.8549999999999</v>
      </c>
      <c r="J13">
        <f t="shared" si="1"/>
        <v>313.45</v>
      </c>
      <c r="K13" s="2">
        <f t="shared" si="2"/>
        <v>43.29500000000013</v>
      </c>
      <c r="L13" s="2">
        <f t="shared" si="3"/>
        <v>2.4450000000001069</v>
      </c>
      <c r="M13" s="2">
        <f t="shared" si="4"/>
        <v>5.4200000000002433</v>
      </c>
    </row>
    <row r="14" spans="2:13" x14ac:dyDescent="0.4">
      <c r="B14" t="s">
        <v>91</v>
      </c>
      <c r="C14" s="2">
        <v>304.60000000000002</v>
      </c>
      <c r="D14" s="3">
        <v>9</v>
      </c>
      <c r="E14">
        <v>1</v>
      </c>
      <c r="F14">
        <v>0</v>
      </c>
      <c r="G14">
        <v>0</v>
      </c>
      <c r="H14">
        <v>0</v>
      </c>
      <c r="I14" s="3">
        <f t="shared" si="0"/>
        <v>300.35999999999984</v>
      </c>
      <c r="J14">
        <f t="shared" si="1"/>
        <v>258.64375000000001</v>
      </c>
      <c r="K14" s="2">
        <f t="shared" si="2"/>
        <v>50.196250000000191</v>
      </c>
      <c r="L14" s="2">
        <f t="shared" si="3"/>
        <v>4.2400000000001796</v>
      </c>
      <c r="M14" s="2">
        <f t="shared" si="4"/>
        <v>1.7950000000000728</v>
      </c>
    </row>
    <row r="15" spans="2:13" x14ac:dyDescent="0.4">
      <c r="B15" t="s">
        <v>92</v>
      </c>
      <c r="C15" s="2">
        <v>348.4</v>
      </c>
      <c r="D15" s="3">
        <v>10</v>
      </c>
      <c r="E15">
        <v>0</v>
      </c>
      <c r="F15">
        <v>1</v>
      </c>
      <c r="G15">
        <v>0</v>
      </c>
      <c r="H15">
        <v>0</v>
      </c>
      <c r="I15" s="3">
        <f t="shared" si="0"/>
        <v>342.68000000000006</v>
      </c>
      <c r="J15">
        <f t="shared" si="1"/>
        <v>297.33749999999992</v>
      </c>
      <c r="K15" s="2">
        <f t="shared" si="2"/>
        <v>56.78249999999997</v>
      </c>
      <c r="L15" s="2">
        <f t="shared" si="3"/>
        <v>5.7199999999999136</v>
      </c>
      <c r="M15" s="2">
        <f t="shared" si="4"/>
        <v>1.479999999999734</v>
      </c>
    </row>
    <row r="16" spans="2:13" x14ac:dyDescent="0.4">
      <c r="B16" t="s">
        <v>93</v>
      </c>
      <c r="C16" s="2">
        <v>350.8</v>
      </c>
      <c r="D16" s="3">
        <v>11</v>
      </c>
      <c r="E16">
        <v>0</v>
      </c>
      <c r="F16">
        <v>0</v>
      </c>
      <c r="G16">
        <v>1</v>
      </c>
      <c r="H16">
        <v>0</v>
      </c>
      <c r="I16" s="3">
        <f t="shared" si="0"/>
        <v>344.60000000000014</v>
      </c>
      <c r="J16">
        <f t="shared" si="1"/>
        <v>294.63124999999997</v>
      </c>
      <c r="K16" s="2">
        <f t="shared" si="2"/>
        <v>62.36874999999992</v>
      </c>
      <c r="L16" s="2">
        <f t="shared" si="3"/>
        <v>6.1999999999998749</v>
      </c>
      <c r="M16" s="2">
        <f t="shared" si="4"/>
        <v>0.47999999999996135</v>
      </c>
    </row>
    <row r="17" spans="2:13" ht="12.75" customHeight="1" x14ac:dyDescent="0.4">
      <c r="B17" t="s">
        <v>94</v>
      </c>
      <c r="C17" s="2">
        <v>374.2</v>
      </c>
      <c r="D17" s="3">
        <v>12</v>
      </c>
      <c r="E17">
        <v>0</v>
      </c>
      <c r="F17">
        <v>0</v>
      </c>
      <c r="G17">
        <v>0</v>
      </c>
      <c r="H17">
        <v>1</v>
      </c>
      <c r="I17" s="3">
        <f t="shared" si="0"/>
        <v>372.27999999999992</v>
      </c>
      <c r="J17">
        <f t="shared" si="1"/>
        <v>312.92499999999995</v>
      </c>
      <c r="K17" s="2">
        <f t="shared" si="2"/>
        <v>63.195000000000107</v>
      </c>
      <c r="L17" s="2">
        <f t="shared" si="3"/>
        <v>1.9200000000000728</v>
      </c>
      <c r="M17" s="2">
        <f t="shared" si="4"/>
        <v>-4.2799999999998022</v>
      </c>
    </row>
    <row r="18" spans="2:13" x14ac:dyDescent="0.4">
      <c r="B18" t="s">
        <v>95</v>
      </c>
      <c r="C18" s="2">
        <v>319.5</v>
      </c>
      <c r="D18" s="3">
        <v>13</v>
      </c>
      <c r="E18">
        <v>1</v>
      </c>
      <c r="F18">
        <v>0</v>
      </c>
      <c r="G18">
        <v>0</v>
      </c>
      <c r="H18">
        <v>0</v>
      </c>
      <c r="I18" s="3">
        <f t="shared" si="0"/>
        <v>320.78499999999985</v>
      </c>
      <c r="J18">
        <f t="shared" si="1"/>
        <v>253.11874999999995</v>
      </c>
      <c r="K18" s="2">
        <f t="shared" si="2"/>
        <v>65.096250000000168</v>
      </c>
      <c r="L18" s="2">
        <f t="shared" si="3"/>
        <v>-1.2849999999998545</v>
      </c>
      <c r="M18" s="2">
        <f t="shared" si="4"/>
        <v>-3.2049999999999272</v>
      </c>
    </row>
    <row r="19" spans="2:13" x14ac:dyDescent="0.4">
      <c r="B19" t="s">
        <v>96</v>
      </c>
      <c r="C19" s="2">
        <v>361.5</v>
      </c>
      <c r="D19" s="3">
        <v>14</v>
      </c>
      <c r="E19">
        <v>0</v>
      </c>
      <c r="F19">
        <v>1</v>
      </c>
      <c r="G19">
        <v>0</v>
      </c>
      <c r="H19">
        <v>0</v>
      </c>
      <c r="I19" s="3">
        <f t="shared" si="0"/>
        <v>363.10500000000008</v>
      </c>
      <c r="J19">
        <f t="shared" si="1"/>
        <v>290.01249999999993</v>
      </c>
      <c r="K19" s="2">
        <f t="shared" si="2"/>
        <v>69.882499999999993</v>
      </c>
      <c r="L19" s="2">
        <f t="shared" si="3"/>
        <v>-1.605000000000075</v>
      </c>
      <c r="M19" s="2">
        <f t="shared" si="4"/>
        <v>-0.32000000000022055</v>
      </c>
    </row>
    <row r="20" spans="2:13" x14ac:dyDescent="0.4">
      <c r="B20" t="s">
        <v>97</v>
      </c>
      <c r="C20" s="2">
        <v>369.4</v>
      </c>
      <c r="D20" s="3">
        <v>15</v>
      </c>
      <c r="E20">
        <v>0</v>
      </c>
      <c r="F20">
        <v>0</v>
      </c>
      <c r="G20">
        <v>1</v>
      </c>
      <c r="H20">
        <v>0</v>
      </c>
      <c r="I20" s="3">
        <f t="shared" si="0"/>
        <v>365.02500000000015</v>
      </c>
      <c r="J20">
        <f t="shared" si="1"/>
        <v>292.80624999999992</v>
      </c>
      <c r="K20" s="2">
        <f t="shared" si="2"/>
        <v>80.968749999999886</v>
      </c>
      <c r="L20" s="2">
        <f t="shared" si="3"/>
        <v>4.3749999999998295</v>
      </c>
      <c r="M20" s="2">
        <f t="shared" si="4"/>
        <v>5.9799999999999045</v>
      </c>
    </row>
    <row r="21" spans="2:13" x14ac:dyDescent="0.4">
      <c r="B21" t="s">
        <v>98</v>
      </c>
      <c r="C21" s="2">
        <v>395.2</v>
      </c>
      <c r="D21" s="3">
        <v>16</v>
      </c>
      <c r="E21">
        <v>0</v>
      </c>
      <c r="F21">
        <v>0</v>
      </c>
      <c r="G21">
        <v>0</v>
      </c>
      <c r="H21">
        <v>1</v>
      </c>
      <c r="I21" s="3">
        <f t="shared" si="0"/>
        <v>392.70499999999993</v>
      </c>
      <c r="J21">
        <f t="shared" si="1"/>
        <v>313.49999999999994</v>
      </c>
      <c r="K21" s="2">
        <f t="shared" si="2"/>
        <v>84.195000000000107</v>
      </c>
      <c r="L21" s="2">
        <f t="shared" si="3"/>
        <v>2.4950000000000614</v>
      </c>
      <c r="M21" s="2">
        <f t="shared" si="4"/>
        <v>-1.8799999999997681</v>
      </c>
    </row>
    <row r="22" spans="2:13" x14ac:dyDescent="0.4">
      <c r="B22" t="s">
        <v>99</v>
      </c>
      <c r="C22" s="2">
        <v>332.6</v>
      </c>
      <c r="D22" s="3">
        <v>17</v>
      </c>
      <c r="E22">
        <v>1</v>
      </c>
      <c r="F22">
        <v>0</v>
      </c>
      <c r="G22">
        <v>0</v>
      </c>
      <c r="H22">
        <v>0</v>
      </c>
      <c r="I22" s="3">
        <f t="shared" si="0"/>
        <v>341.20999999999992</v>
      </c>
      <c r="J22">
        <f t="shared" si="1"/>
        <v>245.79374999999996</v>
      </c>
      <c r="K22" s="2">
        <f t="shared" si="2"/>
        <v>78.196250000000191</v>
      </c>
      <c r="L22" s="2">
        <f t="shared" si="3"/>
        <v>-8.6099999999999</v>
      </c>
      <c r="M22" s="2">
        <f t="shared" si="4"/>
        <v>-11.104999999999961</v>
      </c>
    </row>
    <row r="23" spans="2:13" x14ac:dyDescent="0.4">
      <c r="B23" t="s">
        <v>100</v>
      </c>
      <c r="C23" s="2">
        <v>383.5</v>
      </c>
      <c r="D23" s="3">
        <v>18</v>
      </c>
      <c r="E23">
        <v>0</v>
      </c>
      <c r="F23">
        <v>1</v>
      </c>
      <c r="G23">
        <v>0</v>
      </c>
      <c r="H23">
        <v>0</v>
      </c>
      <c r="I23" s="3">
        <f t="shared" si="0"/>
        <v>383.53000000000009</v>
      </c>
      <c r="J23">
        <f t="shared" si="1"/>
        <v>291.58749999999992</v>
      </c>
      <c r="K23" s="2">
        <f t="shared" si="2"/>
        <v>91.882499999999993</v>
      </c>
      <c r="L23" s="2">
        <f t="shared" si="3"/>
        <v>-3.0000000000086402E-2</v>
      </c>
      <c r="M23" s="2">
        <f t="shared" si="4"/>
        <v>8.5799999999998136</v>
      </c>
    </row>
    <row r="24" spans="2:13" x14ac:dyDescent="0.4">
      <c r="B24" t="s">
        <v>101</v>
      </c>
      <c r="C24" s="2">
        <v>383.8</v>
      </c>
      <c r="D24" s="3">
        <v>19</v>
      </c>
      <c r="E24">
        <v>0</v>
      </c>
      <c r="F24">
        <v>0</v>
      </c>
      <c r="G24">
        <v>1</v>
      </c>
      <c r="H24">
        <v>0</v>
      </c>
      <c r="I24" s="3">
        <f t="shared" si="0"/>
        <v>385.45000000000016</v>
      </c>
      <c r="J24">
        <f t="shared" si="1"/>
        <v>286.78124999999994</v>
      </c>
      <c r="K24" s="2">
        <f t="shared" si="2"/>
        <v>95.36874999999992</v>
      </c>
      <c r="L24" s="2">
        <f t="shared" si="3"/>
        <v>-1.6500000000001478</v>
      </c>
      <c r="M24" s="2">
        <f t="shared" si="4"/>
        <v>-1.6200000000000614</v>
      </c>
    </row>
    <row r="25" spans="2:13" x14ac:dyDescent="0.4">
      <c r="B25" t="s">
        <v>102</v>
      </c>
      <c r="C25" s="2">
        <v>407.4</v>
      </c>
      <c r="D25" s="3">
        <v>20</v>
      </c>
      <c r="E25">
        <v>0</v>
      </c>
      <c r="F25">
        <v>0</v>
      </c>
      <c r="G25">
        <v>0</v>
      </c>
      <c r="H25">
        <v>1</v>
      </c>
      <c r="I25" s="3">
        <f t="shared" si="0"/>
        <v>413.12999999999994</v>
      </c>
      <c r="J25">
        <f t="shared" si="1"/>
        <v>305.27499999999992</v>
      </c>
      <c r="K25" s="2">
        <f t="shared" si="2"/>
        <v>96.395000000000095</v>
      </c>
      <c r="L25" s="2">
        <f t="shared" si="3"/>
        <v>-5.7299999999999613</v>
      </c>
      <c r="M25" s="2">
        <f t="shared" si="4"/>
        <v>-4.0799999999998136</v>
      </c>
    </row>
    <row r="26" spans="2:13" x14ac:dyDescent="0.4">
      <c r="B26" t="s">
        <v>103</v>
      </c>
      <c r="C26" s="4"/>
      <c r="D26" s="3"/>
      <c r="E26" s="3"/>
      <c r="F26" s="3"/>
      <c r="G26" s="3"/>
      <c r="H26" s="3"/>
      <c r="L26" s="5"/>
    </row>
    <row r="27" spans="2:13" x14ac:dyDescent="0.4">
      <c r="B27" t="s">
        <v>104</v>
      </c>
      <c r="C27" s="1"/>
    </row>
    <row r="28" spans="2:13" x14ac:dyDescent="0.4">
      <c r="B28" t="s">
        <v>105</v>
      </c>
      <c r="C28" s="1"/>
    </row>
    <row r="29" spans="2:13" x14ac:dyDescent="0.4">
      <c r="B29" t="s">
        <v>106</v>
      </c>
      <c r="C29" s="1"/>
    </row>
    <row r="30" spans="2:13" ht="12.75" customHeight="1" x14ac:dyDescent="0.4">
      <c r="C30" s="1"/>
    </row>
    <row r="31" spans="2:13" x14ac:dyDescent="0.4">
      <c r="C31" s="26" t="s">
        <v>8</v>
      </c>
      <c r="D31" s="26"/>
      <c r="E31" s="26"/>
      <c r="F31" s="26"/>
    </row>
    <row r="32" spans="2:13" x14ac:dyDescent="0.4">
      <c r="C32" s="26"/>
      <c r="D32" s="26"/>
      <c r="E32" s="26"/>
      <c r="F32" s="26"/>
      <c r="K32" t="s">
        <v>10</v>
      </c>
    </row>
    <row r="33" spans="3:13" x14ac:dyDescent="0.4">
      <c r="C33" s="1">
        <f t="array" ref="C33:G37">LINEST(C6:C25,D6:H25,0,1)</f>
        <v>311.00499999999988</v>
      </c>
      <c r="D33" s="1">
        <v>288.43125000000009</v>
      </c>
      <c r="E33">
        <v>291.61750000000001</v>
      </c>
      <c r="F33">
        <v>254.40374999999983</v>
      </c>
      <c r="G33">
        <v>5.1062500000000037</v>
      </c>
      <c r="J33" t="s">
        <v>16</v>
      </c>
      <c r="K33">
        <f>INDEX(C$33:G$33,1,M33)</f>
        <v>5.1062500000000037</v>
      </c>
      <c r="M33">
        <v>5</v>
      </c>
    </row>
    <row r="34" spans="3:13" x14ac:dyDescent="0.4">
      <c r="C34" s="1">
        <v>3.9694859029014284</v>
      </c>
      <c r="D34" s="1">
        <v>3.797952120880391</v>
      </c>
      <c r="E34">
        <v>3.6342703875743569</v>
      </c>
      <c r="F34">
        <v>3.4795489859798221</v>
      </c>
      <c r="G34">
        <v>0.24068543613327764</v>
      </c>
      <c r="H34" t="s">
        <v>9</v>
      </c>
      <c r="J34" t="s">
        <v>1</v>
      </c>
      <c r="K34">
        <f>INDEX(C$33:G$33,1,M34)</f>
        <v>254.40374999999983</v>
      </c>
      <c r="M34">
        <v>4</v>
      </c>
    </row>
    <row r="35" spans="3:13" x14ac:dyDescent="0.4">
      <c r="C35" s="1">
        <v>0.99976256177098621</v>
      </c>
      <c r="D35" s="1">
        <v>6.0889134224971766</v>
      </c>
      <c r="E35" t="e">
        <v>#N/A</v>
      </c>
      <c r="F35" t="e">
        <v>#N/A</v>
      </c>
      <c r="G35" t="e">
        <v>#N/A</v>
      </c>
      <c r="J35" t="s">
        <v>2</v>
      </c>
      <c r="K35">
        <f>INDEX(C$33:G$33,1,M35)</f>
        <v>291.61750000000001</v>
      </c>
      <c r="M35">
        <v>3</v>
      </c>
    </row>
    <row r="36" spans="3:13" x14ac:dyDescent="0.4">
      <c r="C36" s="1">
        <v>12631.865128757616</v>
      </c>
      <c r="D36" s="1">
        <v>15</v>
      </c>
      <c r="E36" t="e">
        <v>#N/A</v>
      </c>
      <c r="F36" t="e">
        <v>#N/A</v>
      </c>
      <c r="G36" t="e">
        <v>#N/A</v>
      </c>
      <c r="J36" t="s">
        <v>3</v>
      </c>
      <c r="K36">
        <f>INDEX(C$33:G$33,1,M36)</f>
        <v>288.43125000000009</v>
      </c>
      <c r="M36">
        <v>2</v>
      </c>
    </row>
    <row r="37" spans="3:13" x14ac:dyDescent="0.4">
      <c r="C37" s="1">
        <v>2341623.5769999996</v>
      </c>
      <c r="D37" s="1">
        <v>556.12299999999425</v>
      </c>
      <c r="E37" t="e">
        <v>#N/A</v>
      </c>
      <c r="F37" t="e">
        <v>#N/A</v>
      </c>
      <c r="G37" t="e">
        <v>#N/A</v>
      </c>
      <c r="J37" t="s">
        <v>5</v>
      </c>
      <c r="K37">
        <f>INDEX(C$33:G$33,1,M37)</f>
        <v>311.00499999999988</v>
      </c>
      <c r="M37">
        <v>1</v>
      </c>
    </row>
    <row r="38" spans="3:13" x14ac:dyDescent="0.4">
      <c r="C38" s="1"/>
    </row>
    <row r="39" spans="3:13" x14ac:dyDescent="0.4">
      <c r="C39" s="1"/>
      <c r="H39" s="29" t="s">
        <v>20</v>
      </c>
      <c r="I39" s="29"/>
      <c r="J39" s="29"/>
      <c r="K39" s="29"/>
      <c r="L39" s="29"/>
    </row>
    <row r="40" spans="3:13" x14ac:dyDescent="0.4">
      <c r="C40" s="1"/>
      <c r="H40" s="29"/>
      <c r="I40" s="29"/>
      <c r="J40" s="29"/>
      <c r="K40" s="29"/>
      <c r="L40" s="29"/>
    </row>
    <row r="41" spans="3:13" x14ac:dyDescent="0.4">
      <c r="C41" s="1"/>
      <c r="I41" s="27" t="s">
        <v>17</v>
      </c>
      <c r="J41" s="27"/>
      <c r="K41" s="27" t="s">
        <v>18</v>
      </c>
      <c r="L41" s="27"/>
      <c r="M41" s="3"/>
    </row>
    <row r="42" spans="3:13" x14ac:dyDescent="0.4">
      <c r="C42" s="1"/>
      <c r="I42" s="27"/>
      <c r="J42" s="27"/>
      <c r="K42" s="27"/>
      <c r="L42" s="27"/>
      <c r="M42" s="3"/>
    </row>
    <row r="43" spans="3:13" x14ac:dyDescent="0.4">
      <c r="C43" s="1"/>
      <c r="I43" t="s">
        <v>16</v>
      </c>
      <c r="J43">
        <f>K33</f>
        <v>5.1062500000000037</v>
      </c>
      <c r="K43" t="s">
        <v>7</v>
      </c>
      <c r="L43">
        <f>Second_par!J33</f>
        <v>311.005</v>
      </c>
      <c r="M43" s="3"/>
    </row>
    <row r="44" spans="3:13" x14ac:dyDescent="0.4">
      <c r="C44" s="1"/>
      <c r="I44" t="s">
        <v>1</v>
      </c>
      <c r="J44">
        <f>K34</f>
        <v>254.40374999999983</v>
      </c>
      <c r="K44" t="s">
        <v>16</v>
      </c>
      <c r="L44">
        <f>Second_par!J34</f>
        <v>5.1062499999999993</v>
      </c>
      <c r="M44" s="3"/>
    </row>
    <row r="45" spans="3:13" x14ac:dyDescent="0.4">
      <c r="C45" s="1"/>
      <c r="I45" t="s">
        <v>2</v>
      </c>
      <c r="J45">
        <f>K35</f>
        <v>291.61750000000001</v>
      </c>
      <c r="K45" t="s">
        <v>1</v>
      </c>
      <c r="L45">
        <f>Second_par!J35</f>
        <v>-56.601249999999972</v>
      </c>
      <c r="M45" s="3"/>
    </row>
    <row r="46" spans="3:13" x14ac:dyDescent="0.4">
      <c r="C46" s="1"/>
      <c r="I46" t="s">
        <v>3</v>
      </c>
      <c r="J46">
        <f>K36</f>
        <v>288.43125000000009</v>
      </c>
      <c r="K46" t="s">
        <v>2</v>
      </c>
      <c r="L46">
        <f>Second_par!J36</f>
        <v>-19.387500000000006</v>
      </c>
      <c r="M46" s="3"/>
    </row>
    <row r="47" spans="3:13" x14ac:dyDescent="0.4">
      <c r="C47" s="1"/>
      <c r="I47" t="s">
        <v>5</v>
      </c>
      <c r="J47">
        <f>K37</f>
        <v>311.00499999999988</v>
      </c>
      <c r="K47" t="s">
        <v>3</v>
      </c>
      <c r="L47">
        <f>Second_par!J37</f>
        <v>-22.573750000000011</v>
      </c>
      <c r="M47" s="3"/>
    </row>
    <row r="48" spans="3:13" x14ac:dyDescent="0.4">
      <c r="C48" s="1"/>
      <c r="I48" s="3"/>
      <c r="J48" s="3"/>
      <c r="K48" s="3"/>
      <c r="L48" s="3"/>
    </row>
    <row r="49" spans="3:10" x14ac:dyDescent="0.4">
      <c r="C49" s="1"/>
      <c r="G49" s="28" t="s">
        <v>19</v>
      </c>
      <c r="H49" s="28"/>
      <c r="I49" s="28"/>
      <c r="J49">
        <f>J44-J$47</f>
        <v>-56.60125000000005</v>
      </c>
    </row>
    <row r="50" spans="3:10" x14ac:dyDescent="0.4">
      <c r="C50" s="1"/>
      <c r="G50" s="28"/>
      <c r="H50" s="28"/>
      <c r="I50" s="28"/>
      <c r="J50">
        <f>J45-J$47</f>
        <v>-19.387499999999875</v>
      </c>
    </row>
    <row r="51" spans="3:10" x14ac:dyDescent="0.4">
      <c r="C51" s="1"/>
      <c r="G51" s="28"/>
      <c r="H51" s="28"/>
      <c r="I51" s="28"/>
      <c r="J51">
        <f>J46-J$47</f>
        <v>-22.573749999999791</v>
      </c>
    </row>
    <row r="52" spans="3:10" x14ac:dyDescent="0.4">
      <c r="C52" s="1"/>
    </row>
    <row r="53" spans="3:10" x14ac:dyDescent="0.4">
      <c r="C53" s="1"/>
    </row>
    <row r="54" spans="3:10" x14ac:dyDescent="0.4">
      <c r="C54" s="1"/>
    </row>
    <row r="55" spans="3:10" ht="24.9" x14ac:dyDescent="0.8">
      <c r="C55" s="1"/>
      <c r="D55" s="13" t="s">
        <v>24</v>
      </c>
    </row>
    <row r="56" spans="3:10" x14ac:dyDescent="0.4">
      <c r="C56" s="1"/>
      <c r="D56" s="24" t="s">
        <v>75</v>
      </c>
    </row>
    <row r="57" spans="3:10" x14ac:dyDescent="0.4">
      <c r="C57" s="1"/>
    </row>
    <row r="58" spans="3:10" x14ac:dyDescent="0.4">
      <c r="C58" s="1"/>
      <c r="D58" t="s">
        <v>25</v>
      </c>
      <c r="E58">
        <f>G33/G34</f>
        <v>21.215450681330211</v>
      </c>
    </row>
    <row r="59" spans="3:10" x14ac:dyDescent="0.4">
      <c r="C59" s="1"/>
    </row>
    <row r="60" spans="3:10" x14ac:dyDescent="0.4">
      <c r="C60" s="1"/>
      <c r="D60" t="s">
        <v>26</v>
      </c>
      <c r="E60">
        <f>TDIST(E58,D36,2)</f>
        <v>1.3398370368773967E-12</v>
      </c>
    </row>
    <row r="61" spans="3:10" x14ac:dyDescent="0.4">
      <c r="C61" s="1"/>
    </row>
    <row r="62" spans="3:10" x14ac:dyDescent="0.4">
      <c r="C62" s="1"/>
      <c r="D62" t="s">
        <v>27</v>
      </c>
    </row>
    <row r="63" spans="3:10" x14ac:dyDescent="0.4">
      <c r="C63" s="1"/>
    </row>
    <row r="64" spans="3:10" ht="12.75" customHeight="1" x14ac:dyDescent="0.4">
      <c r="C64" s="1"/>
      <c r="D64" t="s">
        <v>28</v>
      </c>
    </row>
    <row r="65" spans="3:12" ht="12.6" thickBot="1" x14ac:dyDescent="0.45">
      <c r="C65" s="1"/>
    </row>
    <row r="66" spans="3:12" ht="12.6" x14ac:dyDescent="0.45">
      <c r="C66" s="1"/>
      <c r="D66" s="17" t="s">
        <v>29</v>
      </c>
      <c r="E66" s="17"/>
    </row>
    <row r="67" spans="3:12" x14ac:dyDescent="0.4">
      <c r="C67" s="1"/>
      <c r="D67" s="14" t="s">
        <v>30</v>
      </c>
      <c r="E67" s="14">
        <v>0.99988127383754233</v>
      </c>
    </row>
    <row r="68" spans="3:12" x14ac:dyDescent="0.4">
      <c r="C68" s="1"/>
      <c r="D68" s="14" t="s">
        <v>31</v>
      </c>
      <c r="E68" s="14">
        <v>0.99976256177098621</v>
      </c>
    </row>
    <row r="69" spans="3:12" x14ac:dyDescent="0.4">
      <c r="C69" s="1"/>
      <c r="D69" s="14" t="s">
        <v>32</v>
      </c>
      <c r="E69" s="14">
        <v>0.93303257824324914</v>
      </c>
    </row>
    <row r="70" spans="3:12" x14ac:dyDescent="0.4">
      <c r="C70" s="1"/>
      <c r="D70" s="14" t="s">
        <v>33</v>
      </c>
      <c r="E70" s="14">
        <v>6.0889134224971766</v>
      </c>
    </row>
    <row r="71" spans="3:12" ht="12.6" thickBot="1" x14ac:dyDescent="0.45">
      <c r="C71" s="1"/>
      <c r="D71" s="15" t="s">
        <v>34</v>
      </c>
      <c r="E71" s="15">
        <v>20</v>
      </c>
    </row>
    <row r="72" spans="3:12" x14ac:dyDescent="0.4">
      <c r="C72" s="1"/>
    </row>
    <row r="73" spans="3:12" ht="12.6" thickBot="1" x14ac:dyDescent="0.45">
      <c r="C73" s="1"/>
      <c r="D73" t="s">
        <v>35</v>
      </c>
    </row>
    <row r="74" spans="3:12" ht="12.6" x14ac:dyDescent="0.45">
      <c r="C74" s="1"/>
      <c r="D74" s="16"/>
      <c r="E74" s="16" t="s">
        <v>39</v>
      </c>
      <c r="F74" s="16" t="s">
        <v>40</v>
      </c>
      <c r="G74" s="16" t="s">
        <v>41</v>
      </c>
      <c r="H74" s="16" t="s">
        <v>42</v>
      </c>
      <c r="I74" s="16" t="s">
        <v>43</v>
      </c>
    </row>
    <row r="75" spans="3:12" x14ac:dyDescent="0.4">
      <c r="C75" s="1"/>
      <c r="D75" s="14" t="s">
        <v>36</v>
      </c>
      <c r="E75" s="14">
        <v>5</v>
      </c>
      <c r="F75" s="14">
        <v>2341623.5769999996</v>
      </c>
      <c r="G75" s="14">
        <v>468324.71539999993</v>
      </c>
      <c r="H75" s="14">
        <v>12631.865128757616</v>
      </c>
      <c r="I75" s="14">
        <v>4.6728302062111338E-25</v>
      </c>
    </row>
    <row r="76" spans="3:12" x14ac:dyDescent="0.4">
      <c r="C76" s="1"/>
      <c r="D76" s="14" t="s">
        <v>37</v>
      </c>
      <c r="E76" s="14">
        <v>15</v>
      </c>
      <c r="F76" s="14">
        <v>556.12299999999425</v>
      </c>
      <c r="G76" s="14">
        <v>37.074866666666281</v>
      </c>
      <c r="H76" s="14"/>
      <c r="I76" s="14"/>
    </row>
    <row r="77" spans="3:12" ht="12.6" thickBot="1" x14ac:dyDescent="0.45">
      <c r="C77" s="1"/>
      <c r="D77" s="15" t="s">
        <v>38</v>
      </c>
      <c r="E77" s="15">
        <v>20</v>
      </c>
      <c r="F77" s="15">
        <v>2342179.7000000002</v>
      </c>
      <c r="G77" s="15"/>
      <c r="H77" s="15"/>
      <c r="I77" s="15"/>
    </row>
    <row r="78" spans="3:12" ht="12.6" thickBot="1" x14ac:dyDescent="0.45">
      <c r="C78" s="1"/>
    </row>
    <row r="79" spans="3:12" ht="12.6" x14ac:dyDescent="0.45">
      <c r="C79" s="1"/>
      <c r="D79" s="16"/>
      <c r="E79" s="16" t="s">
        <v>44</v>
      </c>
      <c r="F79" s="16" t="s">
        <v>33</v>
      </c>
      <c r="G79" s="16" t="s">
        <v>45</v>
      </c>
      <c r="H79" s="16" t="s">
        <v>46</v>
      </c>
      <c r="I79" s="16" t="s">
        <v>47</v>
      </c>
      <c r="J79" s="16" t="s">
        <v>48</v>
      </c>
      <c r="K79" s="16" t="s">
        <v>49</v>
      </c>
      <c r="L79" s="16" t="s">
        <v>50</v>
      </c>
    </row>
    <row r="80" spans="3:12" x14ac:dyDescent="0.4">
      <c r="C80" s="1"/>
      <c r="D80" s="14" t="s">
        <v>4</v>
      </c>
      <c r="E80" s="14">
        <v>5.1062500000000002</v>
      </c>
      <c r="F80" s="14">
        <v>0.24068543613327764</v>
      </c>
      <c r="G80" s="14">
        <v>21.215450681330211</v>
      </c>
      <c r="H80" s="14">
        <v>1.339837036785444E-12</v>
      </c>
      <c r="I80" s="14">
        <v>4.5932411389097654</v>
      </c>
      <c r="J80" s="14">
        <v>5.6192588610902421</v>
      </c>
      <c r="K80" s="14">
        <v>4.5932411389097654</v>
      </c>
      <c r="L80" s="14">
        <v>5.6192588610902421</v>
      </c>
    </row>
    <row r="81" spans="3:12" x14ac:dyDescent="0.4">
      <c r="C81" s="1"/>
      <c r="D81" s="14" t="s">
        <v>1</v>
      </c>
      <c r="E81" s="14">
        <v>254.40375</v>
      </c>
      <c r="F81" s="14">
        <v>3.4795489859798221</v>
      </c>
      <c r="G81" s="14">
        <v>73.114001563154062</v>
      </c>
      <c r="H81" s="14">
        <v>1.4412771047458388E-20</v>
      </c>
      <c r="I81" s="14">
        <v>246.98726692947142</v>
      </c>
      <c r="J81" s="14">
        <v>261.82023307052827</v>
      </c>
      <c r="K81" s="14">
        <v>246.98726692947142</v>
      </c>
      <c r="L81" s="14">
        <v>261.82023307052827</v>
      </c>
    </row>
    <row r="82" spans="3:12" x14ac:dyDescent="0.4">
      <c r="C82" s="1"/>
      <c r="D82" s="14" t="s">
        <v>2</v>
      </c>
      <c r="E82" s="14">
        <v>291.61750000000001</v>
      </c>
      <c r="F82" s="14">
        <v>3.6342703875743569</v>
      </c>
      <c r="G82" s="14">
        <v>80.241002704984766</v>
      </c>
      <c r="H82" s="14">
        <v>3.5831673512731848E-21</v>
      </c>
      <c r="I82" s="14">
        <v>283.87123606988376</v>
      </c>
      <c r="J82" s="14">
        <v>299.36376393011625</v>
      </c>
      <c r="K82" s="14">
        <v>283.87123606988376</v>
      </c>
      <c r="L82" s="14">
        <v>299.36376393011625</v>
      </c>
    </row>
    <row r="83" spans="3:12" x14ac:dyDescent="0.4">
      <c r="C83" s="1"/>
      <c r="D83" s="14" t="s">
        <v>3</v>
      </c>
      <c r="E83" s="14">
        <v>288.43124999999998</v>
      </c>
      <c r="F83" s="14">
        <v>3.797952120880391</v>
      </c>
      <c r="G83" s="14">
        <v>75.943887869007625</v>
      </c>
      <c r="H83" s="14">
        <v>8.1656515738080738E-21</v>
      </c>
      <c r="I83" s="14">
        <v>280.33610671543011</v>
      </c>
      <c r="J83" s="14">
        <v>296.52639328457008</v>
      </c>
      <c r="K83" s="14">
        <v>280.33610671543011</v>
      </c>
      <c r="L83" s="14">
        <v>296.52639328457008</v>
      </c>
    </row>
    <row r="84" spans="3:12" ht="12.6" thickBot="1" x14ac:dyDescent="0.45">
      <c r="C84" s="1"/>
      <c r="D84" s="15" t="s">
        <v>5</v>
      </c>
      <c r="E84" s="15">
        <v>311.005</v>
      </c>
      <c r="F84" s="15">
        <v>3.9694859029014284</v>
      </c>
      <c r="G84" s="15">
        <v>78.34893676601196</v>
      </c>
      <c r="H84" s="15">
        <v>5.1211489387730146E-21</v>
      </c>
      <c r="I84" s="15">
        <v>302.54424111538839</v>
      </c>
      <c r="J84" s="15">
        <v>319.46575888461138</v>
      </c>
      <c r="K84" s="15">
        <v>302.54424111538839</v>
      </c>
      <c r="L84" s="15">
        <v>319.46575888461138</v>
      </c>
    </row>
    <row r="85" spans="3:12" x14ac:dyDescent="0.4">
      <c r="C85" s="1"/>
    </row>
    <row r="86" spans="3:12" x14ac:dyDescent="0.4">
      <c r="C86" s="1"/>
    </row>
    <row r="87" spans="3:12" x14ac:dyDescent="0.4">
      <c r="C87" s="1"/>
    </row>
    <row r="88" spans="3:12" x14ac:dyDescent="0.4">
      <c r="C88" s="1"/>
    </row>
    <row r="89" spans="3:12" x14ac:dyDescent="0.4">
      <c r="C89" s="1"/>
    </row>
    <row r="90" spans="3:12" x14ac:dyDescent="0.4">
      <c r="C90" s="1"/>
    </row>
    <row r="91" spans="3:12" x14ac:dyDescent="0.4">
      <c r="C91" s="1"/>
    </row>
    <row r="92" spans="3:12" ht="22.2" x14ac:dyDescent="0.7">
      <c r="C92" s="1"/>
      <c r="E92" s="22" t="s">
        <v>67</v>
      </c>
    </row>
    <row r="93" spans="3:12" x14ac:dyDescent="0.4">
      <c r="C93" s="1"/>
    </row>
    <row r="94" spans="3:12" x14ac:dyDescent="0.4">
      <c r="C94" s="1"/>
    </row>
    <row r="95" spans="3:12" x14ac:dyDescent="0.4">
      <c r="C95" s="1"/>
    </row>
    <row r="96" spans="3:12" x14ac:dyDescent="0.4">
      <c r="C96" s="1"/>
    </row>
    <row r="97" spans="3:10" x14ac:dyDescent="0.4">
      <c r="C97" s="1"/>
    </row>
    <row r="98" spans="3:10" x14ac:dyDescent="0.4">
      <c r="C98" s="1"/>
    </row>
    <row r="99" spans="3:10" ht="22.5" x14ac:dyDescent="0.75">
      <c r="C99" s="1"/>
      <c r="I99" s="23">
        <f>SUMSQ(M7:M25)/SUMSQ(L6:L25)</f>
        <v>1.1223885723122415</v>
      </c>
    </row>
    <row r="100" spans="3:10" x14ac:dyDescent="0.4">
      <c r="C100" s="1"/>
    </row>
    <row r="101" spans="3:10" x14ac:dyDescent="0.4">
      <c r="C101" s="1"/>
    </row>
    <row r="102" spans="3:10" x14ac:dyDescent="0.4">
      <c r="C102" s="1"/>
    </row>
    <row r="103" spans="3:10" x14ac:dyDescent="0.4">
      <c r="C103" s="1"/>
    </row>
    <row r="104" spans="3:10" x14ac:dyDescent="0.4">
      <c r="C104" s="1"/>
    </row>
    <row r="105" spans="3:10" x14ac:dyDescent="0.4">
      <c r="C105" s="1"/>
    </row>
    <row r="106" spans="3:10" x14ac:dyDescent="0.4">
      <c r="C106" s="1"/>
    </row>
    <row r="107" spans="3:10" x14ac:dyDescent="0.4">
      <c r="C107" s="1"/>
      <c r="G107" t="s">
        <v>69</v>
      </c>
    </row>
    <row r="108" spans="3:10" x14ac:dyDescent="0.4">
      <c r="C108" s="1"/>
    </row>
    <row r="109" spans="3:10" ht="18" customHeight="1" x14ac:dyDescent="0.4">
      <c r="C109" s="1"/>
      <c r="G109" s="25" t="s">
        <v>70</v>
      </c>
      <c r="H109" s="25"/>
      <c r="I109" s="25"/>
      <c r="J109" s="25"/>
    </row>
    <row r="110" spans="3:10" ht="18" customHeight="1" x14ac:dyDescent="0.4">
      <c r="C110" s="1"/>
      <c r="G110" s="25"/>
      <c r="H110" s="25"/>
      <c r="I110" s="25"/>
      <c r="J110" s="25"/>
    </row>
    <row r="111" spans="3:10" ht="18" customHeight="1" x14ac:dyDescent="0.4">
      <c r="C111" s="1"/>
      <c r="G111" s="25"/>
      <c r="H111" s="25"/>
      <c r="I111" s="25"/>
      <c r="J111" s="25"/>
    </row>
    <row r="112" spans="3:10" ht="18" customHeight="1" x14ac:dyDescent="0.4">
      <c r="C112" s="1"/>
      <c r="G112" s="25"/>
      <c r="H112" s="25"/>
      <c r="I112" s="25"/>
      <c r="J112" s="25"/>
    </row>
    <row r="113" spans="3:3" x14ac:dyDescent="0.4">
      <c r="C113" s="1"/>
    </row>
    <row r="114" spans="3:3" x14ac:dyDescent="0.4">
      <c r="C114" s="1"/>
    </row>
    <row r="115" spans="3:3" x14ac:dyDescent="0.4">
      <c r="C115" s="1"/>
    </row>
    <row r="116" spans="3:3" x14ac:dyDescent="0.4">
      <c r="C116" s="1"/>
    </row>
    <row r="117" spans="3:3" x14ac:dyDescent="0.4">
      <c r="C117" s="1"/>
    </row>
    <row r="118" spans="3:3" x14ac:dyDescent="0.4">
      <c r="C118" s="1"/>
    </row>
    <row r="119" spans="3:3" x14ac:dyDescent="0.4">
      <c r="C119" s="1"/>
    </row>
    <row r="120" spans="3:3" x14ac:dyDescent="0.4">
      <c r="C120" s="1"/>
    </row>
    <row r="121" spans="3:3" x14ac:dyDescent="0.4">
      <c r="C121" s="1"/>
    </row>
    <row r="122" spans="3:3" x14ac:dyDescent="0.4">
      <c r="C122" s="1"/>
    </row>
    <row r="123" spans="3:3" x14ac:dyDescent="0.4">
      <c r="C123" s="1"/>
    </row>
    <row r="124" spans="3:3" x14ac:dyDescent="0.4">
      <c r="C124" s="1"/>
    </row>
    <row r="125" spans="3:3" x14ac:dyDescent="0.4">
      <c r="C125" s="1"/>
    </row>
    <row r="126" spans="3:3" x14ac:dyDescent="0.4">
      <c r="C126" s="1"/>
    </row>
    <row r="127" spans="3:3" x14ac:dyDescent="0.4">
      <c r="C127" s="1"/>
    </row>
    <row r="128" spans="3:3" x14ac:dyDescent="0.4">
      <c r="C128" s="1"/>
    </row>
    <row r="129" spans="3:3" x14ac:dyDescent="0.4">
      <c r="C129" s="1"/>
    </row>
    <row r="130" spans="3:3" x14ac:dyDescent="0.4">
      <c r="C130" s="1"/>
    </row>
    <row r="131" spans="3:3" x14ac:dyDescent="0.4">
      <c r="C131" s="1"/>
    </row>
    <row r="132" spans="3:3" x14ac:dyDescent="0.4">
      <c r="C132" s="1"/>
    </row>
    <row r="133" spans="3:3" x14ac:dyDescent="0.4">
      <c r="C133" s="1"/>
    </row>
    <row r="134" spans="3:3" x14ac:dyDescent="0.4">
      <c r="C134" s="1"/>
    </row>
    <row r="135" spans="3:3" x14ac:dyDescent="0.4">
      <c r="C135" s="1"/>
    </row>
    <row r="136" spans="3:3" x14ac:dyDescent="0.4">
      <c r="C136" s="1"/>
    </row>
    <row r="137" spans="3:3" x14ac:dyDescent="0.4">
      <c r="C137" s="1"/>
    </row>
    <row r="138" spans="3:3" x14ac:dyDescent="0.4">
      <c r="C138" s="1"/>
    </row>
    <row r="139" spans="3:3" x14ac:dyDescent="0.4">
      <c r="C139" s="1"/>
    </row>
    <row r="140" spans="3:3" x14ac:dyDescent="0.4">
      <c r="C140" s="1"/>
    </row>
    <row r="141" spans="3:3" x14ac:dyDescent="0.4">
      <c r="C141" s="1"/>
    </row>
    <row r="142" spans="3:3" x14ac:dyDescent="0.4">
      <c r="C142" s="1"/>
    </row>
    <row r="143" spans="3:3" x14ac:dyDescent="0.4">
      <c r="C143" s="1"/>
    </row>
    <row r="144" spans="3:3" x14ac:dyDescent="0.4">
      <c r="C144" s="1"/>
    </row>
    <row r="145" spans="3:3" x14ac:dyDescent="0.4">
      <c r="C145" s="1"/>
    </row>
    <row r="146" spans="3:3" x14ac:dyDescent="0.4">
      <c r="C146" s="1"/>
    </row>
    <row r="147" spans="3:3" x14ac:dyDescent="0.4">
      <c r="C147" s="1"/>
    </row>
    <row r="148" spans="3:3" x14ac:dyDescent="0.4">
      <c r="C148" s="1"/>
    </row>
    <row r="149" spans="3:3" x14ac:dyDescent="0.4">
      <c r="C149" s="1"/>
    </row>
    <row r="150" spans="3:3" x14ac:dyDescent="0.4">
      <c r="C150" s="1"/>
    </row>
    <row r="151" spans="3:3" x14ac:dyDescent="0.4">
      <c r="C151" s="1"/>
    </row>
    <row r="152" spans="3:3" x14ac:dyDescent="0.4">
      <c r="C152" s="1"/>
    </row>
    <row r="153" spans="3:3" x14ac:dyDescent="0.4">
      <c r="C153" s="1"/>
    </row>
    <row r="154" spans="3:3" x14ac:dyDescent="0.4">
      <c r="C154" s="1"/>
    </row>
    <row r="155" spans="3:3" x14ac:dyDescent="0.4">
      <c r="C155" s="1"/>
    </row>
    <row r="156" spans="3:3" x14ac:dyDescent="0.4">
      <c r="C156" s="1"/>
    </row>
    <row r="157" spans="3:3" x14ac:dyDescent="0.4">
      <c r="C157" s="1"/>
    </row>
    <row r="158" spans="3:3" x14ac:dyDescent="0.4">
      <c r="C158" s="1"/>
    </row>
    <row r="159" spans="3:3" x14ac:dyDescent="0.4">
      <c r="C159" s="1"/>
    </row>
    <row r="160" spans="3:3" x14ac:dyDescent="0.4">
      <c r="C160" s="1"/>
    </row>
    <row r="161" spans="3:3" x14ac:dyDescent="0.4">
      <c r="C161" s="1"/>
    </row>
    <row r="162" spans="3:3" x14ac:dyDescent="0.4">
      <c r="C162" s="1"/>
    </row>
    <row r="163" spans="3:3" x14ac:dyDescent="0.4">
      <c r="C163" s="1"/>
    </row>
    <row r="164" spans="3:3" x14ac:dyDescent="0.4">
      <c r="C164" s="1"/>
    </row>
    <row r="165" spans="3:3" x14ac:dyDescent="0.4">
      <c r="C165" s="1"/>
    </row>
    <row r="166" spans="3:3" x14ac:dyDescent="0.4">
      <c r="C166" s="1"/>
    </row>
    <row r="167" spans="3:3" x14ac:dyDescent="0.4">
      <c r="C167" s="1"/>
    </row>
    <row r="168" spans="3:3" x14ac:dyDescent="0.4">
      <c r="C168" s="1"/>
    </row>
    <row r="169" spans="3:3" x14ac:dyDescent="0.4">
      <c r="C169" s="1"/>
    </row>
    <row r="170" spans="3:3" x14ac:dyDescent="0.4">
      <c r="C170" s="1"/>
    </row>
    <row r="171" spans="3:3" x14ac:dyDescent="0.4">
      <c r="C171" s="1"/>
    </row>
    <row r="172" spans="3:3" x14ac:dyDescent="0.4">
      <c r="C172" s="1"/>
    </row>
    <row r="173" spans="3:3" x14ac:dyDescent="0.4">
      <c r="C173" s="1"/>
    </row>
    <row r="174" spans="3:3" x14ac:dyDescent="0.4">
      <c r="C174" s="1"/>
    </row>
    <row r="175" spans="3:3" x14ac:dyDescent="0.4">
      <c r="C175" s="1"/>
    </row>
    <row r="176" spans="3:3" x14ac:dyDescent="0.4">
      <c r="C176" s="1"/>
    </row>
    <row r="177" spans="3:3" x14ac:dyDescent="0.4">
      <c r="C177" s="1"/>
    </row>
    <row r="178" spans="3:3" x14ac:dyDescent="0.4">
      <c r="C178" s="1"/>
    </row>
    <row r="179" spans="3:3" x14ac:dyDescent="0.4">
      <c r="C179" s="1"/>
    </row>
    <row r="180" spans="3:3" x14ac:dyDescent="0.4">
      <c r="C180" s="1"/>
    </row>
    <row r="181" spans="3:3" x14ac:dyDescent="0.4">
      <c r="C181" s="1"/>
    </row>
    <row r="182" spans="3:3" x14ac:dyDescent="0.4">
      <c r="C182" s="1"/>
    </row>
    <row r="183" spans="3:3" x14ac:dyDescent="0.4">
      <c r="C183" s="1"/>
    </row>
    <row r="184" spans="3:3" x14ac:dyDescent="0.4">
      <c r="C184" s="1"/>
    </row>
    <row r="185" spans="3:3" x14ac:dyDescent="0.4">
      <c r="C185" s="1"/>
    </row>
    <row r="186" spans="3:3" x14ac:dyDescent="0.4">
      <c r="C186" s="1"/>
    </row>
    <row r="187" spans="3:3" x14ac:dyDescent="0.4">
      <c r="C187" s="1"/>
    </row>
    <row r="188" spans="3:3" x14ac:dyDescent="0.4">
      <c r="C188" s="1"/>
    </row>
    <row r="189" spans="3:3" x14ac:dyDescent="0.4">
      <c r="C189" s="1"/>
    </row>
    <row r="190" spans="3:3" x14ac:dyDescent="0.4">
      <c r="C190" s="1"/>
    </row>
    <row r="191" spans="3:3" x14ac:dyDescent="0.4">
      <c r="C191" s="1"/>
    </row>
    <row r="192" spans="3:3" x14ac:dyDescent="0.4">
      <c r="C192" s="1"/>
    </row>
    <row r="193" spans="3:3" x14ac:dyDescent="0.4">
      <c r="C193" s="1"/>
    </row>
    <row r="194" spans="3:3" x14ac:dyDescent="0.4">
      <c r="C194" s="1"/>
    </row>
    <row r="195" spans="3:3" x14ac:dyDescent="0.4">
      <c r="C195" s="1"/>
    </row>
    <row r="196" spans="3:3" x14ac:dyDescent="0.4">
      <c r="C196" s="1"/>
    </row>
    <row r="197" spans="3:3" x14ac:dyDescent="0.4">
      <c r="C197" s="1"/>
    </row>
    <row r="198" spans="3:3" x14ac:dyDescent="0.4">
      <c r="C198" s="1"/>
    </row>
    <row r="199" spans="3:3" x14ac:dyDescent="0.4">
      <c r="C199" s="1"/>
    </row>
    <row r="200" spans="3:3" x14ac:dyDescent="0.4">
      <c r="C200" s="1"/>
    </row>
    <row r="201" spans="3:3" x14ac:dyDescent="0.4">
      <c r="C201" s="1"/>
    </row>
    <row r="202" spans="3:3" x14ac:dyDescent="0.4">
      <c r="C202" s="1"/>
    </row>
    <row r="203" spans="3:3" x14ac:dyDescent="0.4">
      <c r="C203" s="1"/>
    </row>
    <row r="204" spans="3:3" x14ac:dyDescent="0.4">
      <c r="C204" s="1"/>
    </row>
    <row r="205" spans="3:3" x14ac:dyDescent="0.4">
      <c r="C205" s="1"/>
    </row>
    <row r="206" spans="3:3" x14ac:dyDescent="0.4">
      <c r="C206" s="1"/>
    </row>
    <row r="207" spans="3:3" x14ac:dyDescent="0.4">
      <c r="C207" s="1"/>
    </row>
    <row r="208" spans="3:3" x14ac:dyDescent="0.4">
      <c r="C208" s="1"/>
    </row>
    <row r="209" spans="3:3" x14ac:dyDescent="0.4">
      <c r="C209" s="1"/>
    </row>
    <row r="210" spans="3:3" x14ac:dyDescent="0.4">
      <c r="C210" s="1"/>
    </row>
    <row r="211" spans="3:3" x14ac:dyDescent="0.4">
      <c r="C211" s="1"/>
    </row>
    <row r="212" spans="3:3" x14ac:dyDescent="0.4">
      <c r="C212" s="1"/>
    </row>
    <row r="213" spans="3:3" x14ac:dyDescent="0.4">
      <c r="C213" s="1"/>
    </row>
    <row r="214" spans="3:3" x14ac:dyDescent="0.4">
      <c r="C214" s="1"/>
    </row>
    <row r="215" spans="3:3" x14ac:dyDescent="0.4">
      <c r="C215" s="1"/>
    </row>
    <row r="216" spans="3:3" x14ac:dyDescent="0.4">
      <c r="C216" s="1"/>
    </row>
    <row r="217" spans="3:3" x14ac:dyDescent="0.4">
      <c r="C217" s="1"/>
    </row>
    <row r="218" spans="3:3" x14ac:dyDescent="0.4">
      <c r="C218" s="1"/>
    </row>
    <row r="219" spans="3:3" x14ac:dyDescent="0.4">
      <c r="C219" s="1"/>
    </row>
    <row r="220" spans="3:3" x14ac:dyDescent="0.4">
      <c r="C220" s="1"/>
    </row>
    <row r="221" spans="3:3" x14ac:dyDescent="0.4">
      <c r="C221" s="1"/>
    </row>
    <row r="222" spans="3:3" x14ac:dyDescent="0.4">
      <c r="C222" s="1"/>
    </row>
    <row r="223" spans="3:3" x14ac:dyDescent="0.4">
      <c r="C223" s="1"/>
    </row>
    <row r="224" spans="3:3" x14ac:dyDescent="0.4">
      <c r="C224" s="1"/>
    </row>
    <row r="225" spans="3:3" x14ac:dyDescent="0.4">
      <c r="C225" s="1"/>
    </row>
    <row r="226" spans="3:3" x14ac:dyDescent="0.4">
      <c r="C226" s="1"/>
    </row>
    <row r="227" spans="3:3" x14ac:dyDescent="0.4">
      <c r="C227" s="1"/>
    </row>
    <row r="228" spans="3:3" x14ac:dyDescent="0.4">
      <c r="C228" s="1"/>
    </row>
    <row r="229" spans="3:3" x14ac:dyDescent="0.4">
      <c r="C229" s="1"/>
    </row>
    <row r="230" spans="3:3" x14ac:dyDescent="0.4">
      <c r="C230" s="1"/>
    </row>
    <row r="231" spans="3:3" x14ac:dyDescent="0.4">
      <c r="C231" s="1"/>
    </row>
    <row r="232" spans="3:3" x14ac:dyDescent="0.4">
      <c r="C232" s="1"/>
    </row>
    <row r="233" spans="3:3" x14ac:dyDescent="0.4">
      <c r="C233" s="1"/>
    </row>
    <row r="234" spans="3:3" x14ac:dyDescent="0.4">
      <c r="C234" s="1"/>
    </row>
    <row r="235" spans="3:3" x14ac:dyDescent="0.4">
      <c r="C235" s="1"/>
    </row>
    <row r="236" spans="3:3" x14ac:dyDescent="0.4">
      <c r="C236" s="1"/>
    </row>
    <row r="237" spans="3:3" x14ac:dyDescent="0.4">
      <c r="C237" s="1"/>
    </row>
    <row r="238" spans="3:3" x14ac:dyDescent="0.4">
      <c r="C238" s="1"/>
    </row>
    <row r="239" spans="3:3" x14ac:dyDescent="0.4">
      <c r="C239" s="1"/>
    </row>
    <row r="240" spans="3:3" x14ac:dyDescent="0.4">
      <c r="C240" s="1"/>
    </row>
    <row r="241" spans="3:3" x14ac:dyDescent="0.4">
      <c r="C241" s="1"/>
    </row>
    <row r="242" spans="3:3" x14ac:dyDescent="0.4">
      <c r="C242" s="1"/>
    </row>
    <row r="243" spans="3:3" x14ac:dyDescent="0.4">
      <c r="C243" s="1"/>
    </row>
    <row r="244" spans="3:3" x14ac:dyDescent="0.4">
      <c r="C244" s="1"/>
    </row>
    <row r="245" spans="3:3" x14ac:dyDescent="0.4">
      <c r="C245" s="1"/>
    </row>
    <row r="246" spans="3:3" x14ac:dyDescent="0.4">
      <c r="C246" s="1"/>
    </row>
    <row r="247" spans="3:3" x14ac:dyDescent="0.4">
      <c r="C247" s="1"/>
    </row>
    <row r="248" spans="3:3" x14ac:dyDescent="0.4">
      <c r="C248" s="1"/>
    </row>
    <row r="249" spans="3:3" x14ac:dyDescent="0.4">
      <c r="C249" s="1"/>
    </row>
    <row r="250" spans="3:3" x14ac:dyDescent="0.4">
      <c r="C250" s="1"/>
    </row>
    <row r="251" spans="3:3" x14ac:dyDescent="0.4">
      <c r="C251" s="1"/>
    </row>
    <row r="252" spans="3:3" x14ac:dyDescent="0.4">
      <c r="C252" s="1"/>
    </row>
    <row r="253" spans="3:3" x14ac:dyDescent="0.4">
      <c r="C253" s="1"/>
    </row>
    <row r="254" spans="3:3" x14ac:dyDescent="0.4">
      <c r="C254" s="1"/>
    </row>
    <row r="255" spans="3:3" x14ac:dyDescent="0.4">
      <c r="C255" s="1"/>
    </row>
    <row r="256" spans="3:3" x14ac:dyDescent="0.4">
      <c r="C256" s="1"/>
    </row>
    <row r="257" spans="3:3" x14ac:dyDescent="0.4">
      <c r="C257" s="1"/>
    </row>
    <row r="258" spans="3:3" x14ac:dyDescent="0.4">
      <c r="C258" s="1"/>
    </row>
    <row r="259" spans="3:3" x14ac:dyDescent="0.4">
      <c r="C259" s="1"/>
    </row>
    <row r="260" spans="3:3" x14ac:dyDescent="0.4">
      <c r="C260" s="1"/>
    </row>
    <row r="261" spans="3:3" x14ac:dyDescent="0.4">
      <c r="C261" s="1"/>
    </row>
    <row r="262" spans="3:3" x14ac:dyDescent="0.4">
      <c r="C262" s="1"/>
    </row>
    <row r="263" spans="3:3" x14ac:dyDescent="0.4">
      <c r="C263" s="1"/>
    </row>
    <row r="264" spans="3:3" x14ac:dyDescent="0.4">
      <c r="C264" s="1"/>
    </row>
    <row r="265" spans="3:3" x14ac:dyDescent="0.4">
      <c r="C265" s="1"/>
    </row>
    <row r="266" spans="3:3" x14ac:dyDescent="0.4">
      <c r="C266" s="1"/>
    </row>
    <row r="267" spans="3:3" x14ac:dyDescent="0.4">
      <c r="C267" s="1"/>
    </row>
    <row r="268" spans="3:3" x14ac:dyDescent="0.4">
      <c r="C268" s="1"/>
    </row>
    <row r="269" spans="3:3" x14ac:dyDescent="0.4">
      <c r="C269" s="1"/>
    </row>
    <row r="270" spans="3:3" x14ac:dyDescent="0.4">
      <c r="C270" s="1"/>
    </row>
    <row r="271" spans="3:3" x14ac:dyDescent="0.4">
      <c r="C271" s="1"/>
    </row>
    <row r="272" spans="3:3" x14ac:dyDescent="0.4">
      <c r="C272" s="1"/>
    </row>
    <row r="273" spans="3:3" x14ac:dyDescent="0.4">
      <c r="C273" s="1"/>
    </row>
    <row r="274" spans="3:3" x14ac:dyDescent="0.4">
      <c r="C274" s="1"/>
    </row>
    <row r="275" spans="3:3" x14ac:dyDescent="0.4">
      <c r="C275" s="1"/>
    </row>
    <row r="276" spans="3:3" x14ac:dyDescent="0.4">
      <c r="C276" s="1"/>
    </row>
    <row r="277" spans="3:3" x14ac:dyDescent="0.4">
      <c r="C277" s="1"/>
    </row>
  </sheetData>
  <mergeCells count="6">
    <mergeCell ref="G109:J112"/>
    <mergeCell ref="C31:F32"/>
    <mergeCell ref="I41:J42"/>
    <mergeCell ref="K41:L42"/>
    <mergeCell ref="G49:I51"/>
    <mergeCell ref="H39:L40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38" r:id="rId4">
          <objectPr defaultSize="0" autoPict="0" r:id="rId5">
            <anchor moveWithCells="1">
              <from>
                <xdr:col>3</xdr:col>
                <xdr:colOff>190500</xdr:colOff>
                <xdr:row>94</xdr:row>
                <xdr:rowOff>72390</xdr:rowOff>
              </from>
              <to>
                <xdr:col>6</xdr:col>
                <xdr:colOff>434340</xdr:colOff>
                <xdr:row>102</xdr:row>
                <xdr:rowOff>118110</xdr:rowOff>
              </to>
            </anchor>
          </objectPr>
        </oleObject>
      </mc:Choice>
      <mc:Fallback>
        <oleObject progId="Equation.3" shapeId="103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EAF0-5B6D-456E-A8D2-385B82607402}">
  <dimension ref="A1:IV305"/>
  <sheetViews>
    <sheetView workbookViewId="0">
      <selection activeCell="D7" sqref="D7"/>
    </sheetView>
  </sheetViews>
  <sheetFormatPr defaultRowHeight="12.3" x14ac:dyDescent="0.4"/>
  <cols>
    <col min="2" max="2" width="11.27734375" customWidth="1"/>
    <col min="3" max="3" width="9.5546875" bestFit="1" customWidth="1"/>
    <col min="4" max="5" width="9.27734375" bestFit="1" customWidth="1"/>
    <col min="6" max="6" width="15.0546875" customWidth="1"/>
    <col min="9" max="9" width="12.1640625" customWidth="1"/>
    <col min="10" max="10" width="14" customWidth="1"/>
    <col min="12" max="12" width="12.5546875" customWidth="1"/>
    <col min="13" max="13" width="10" bestFit="1" customWidth="1"/>
    <col min="15" max="15" width="12.44140625" bestFit="1" customWidth="1"/>
    <col min="19" max="19" width="10" bestFit="1" customWidth="1"/>
  </cols>
  <sheetData>
    <row r="1" spans="1:256" ht="12.75" customHeight="1" x14ac:dyDescent="0.4"/>
    <row r="2" spans="1:256" ht="12.75" customHeight="1" x14ac:dyDescent="0.4">
      <c r="C2" t="s">
        <v>12</v>
      </c>
    </row>
    <row r="4" spans="1:256" ht="24.75" customHeight="1" x14ac:dyDescent="0.6">
      <c r="A4" s="7"/>
      <c r="B4" s="7"/>
      <c r="C4" s="7" t="s">
        <v>22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s="9" customFormat="1" ht="86.25" customHeight="1" x14ac:dyDescent="0.5">
      <c r="B5" s="6" t="s">
        <v>6</v>
      </c>
      <c r="C5" s="6" t="s">
        <v>0</v>
      </c>
      <c r="D5" s="9" t="s">
        <v>7</v>
      </c>
      <c r="E5" s="6" t="s">
        <v>107</v>
      </c>
      <c r="F5" s="10" t="s">
        <v>108</v>
      </c>
      <c r="G5" s="9" t="s">
        <v>109</v>
      </c>
      <c r="H5" s="9" t="s">
        <v>110</v>
      </c>
      <c r="I5" s="10" t="s">
        <v>11</v>
      </c>
      <c r="J5" s="11" t="s">
        <v>13</v>
      </c>
      <c r="K5" s="9" t="s">
        <v>14</v>
      </c>
      <c r="L5" s="9" t="s">
        <v>15</v>
      </c>
    </row>
    <row r="6" spans="1:256" ht="12.75" customHeight="1" x14ac:dyDescent="0.4">
      <c r="B6" t="s">
        <v>83</v>
      </c>
      <c r="C6" s="2">
        <v>254</v>
      </c>
      <c r="D6" s="3">
        <v>1</v>
      </c>
      <c r="E6" s="3">
        <v>1</v>
      </c>
      <c r="F6">
        <v>1</v>
      </c>
      <c r="G6">
        <v>0</v>
      </c>
      <c r="H6">
        <v>0</v>
      </c>
      <c r="I6" s="3">
        <f>MMULT(D6:H6,J$33:J$37)</f>
        <v>259.51</v>
      </c>
      <c r="J6">
        <f>C6-E6*J$34</f>
        <v>248.89375000000001</v>
      </c>
      <c r="K6">
        <f t="shared" ref="K6:K25" si="0">C6-D6*J$33-MMULT(F6:H6,J$35:J$37)</f>
        <v>-0.40375000000002359</v>
      </c>
      <c r="L6" s="2">
        <f>C6-I6</f>
        <v>-5.5099999999999909</v>
      </c>
    </row>
    <row r="7" spans="1:256" x14ac:dyDescent="0.4">
      <c r="B7" t="s">
        <v>84</v>
      </c>
      <c r="C7" s="2">
        <v>292.39999999999998</v>
      </c>
      <c r="D7" s="3">
        <v>1</v>
      </c>
      <c r="E7" s="3">
        <v>2</v>
      </c>
      <c r="F7">
        <v>0</v>
      </c>
      <c r="G7">
        <v>1</v>
      </c>
      <c r="H7">
        <v>0</v>
      </c>
      <c r="I7" s="3">
        <f t="shared" ref="I7:I25" si="1">MMULT(D7:H7,J$33:J$37)</f>
        <v>301.83</v>
      </c>
      <c r="J7">
        <f t="shared" ref="J7:J25" si="2">C7-E7*J$34</f>
        <v>282.1875</v>
      </c>
      <c r="K7">
        <f t="shared" si="0"/>
        <v>0.7824999999999882</v>
      </c>
      <c r="L7" s="2">
        <f t="shared" ref="L7:L25" si="3">C7-I7</f>
        <v>-9.4300000000000068</v>
      </c>
    </row>
    <row r="8" spans="1:256" x14ac:dyDescent="0.4">
      <c r="B8" t="s">
        <v>85</v>
      </c>
      <c r="C8" s="2">
        <v>297.8</v>
      </c>
      <c r="D8" s="3">
        <v>1</v>
      </c>
      <c r="E8" s="3">
        <v>3</v>
      </c>
      <c r="F8">
        <v>0</v>
      </c>
      <c r="G8">
        <v>0</v>
      </c>
      <c r="H8">
        <v>1</v>
      </c>
      <c r="I8" s="3">
        <f t="shared" si="1"/>
        <v>303.75</v>
      </c>
      <c r="J8">
        <f t="shared" si="2"/>
        <v>282.48124999999999</v>
      </c>
      <c r="K8">
        <f t="shared" si="0"/>
        <v>9.368750000000027</v>
      </c>
      <c r="L8" s="2">
        <f t="shared" si="3"/>
        <v>-5.9499999999999886</v>
      </c>
    </row>
    <row r="9" spans="1:256" x14ac:dyDescent="0.4">
      <c r="B9" t="s">
        <v>86</v>
      </c>
      <c r="C9" s="2">
        <v>330.3</v>
      </c>
      <c r="D9" s="3">
        <v>1</v>
      </c>
      <c r="E9" s="3">
        <v>4</v>
      </c>
      <c r="F9">
        <v>0</v>
      </c>
      <c r="G9">
        <v>0</v>
      </c>
      <c r="H9">
        <v>0</v>
      </c>
      <c r="I9" s="3">
        <f t="shared" si="1"/>
        <v>331.43</v>
      </c>
      <c r="J9">
        <f t="shared" si="2"/>
        <v>309.875</v>
      </c>
      <c r="K9">
        <f t="shared" si="0"/>
        <v>19.295000000000016</v>
      </c>
      <c r="L9" s="2">
        <f t="shared" si="3"/>
        <v>-1.1299999999999955</v>
      </c>
    </row>
    <row r="10" spans="1:256" x14ac:dyDescent="0.4">
      <c r="B10" t="s">
        <v>87</v>
      </c>
      <c r="C10" s="2">
        <v>291.10000000000002</v>
      </c>
      <c r="D10" s="3">
        <v>1</v>
      </c>
      <c r="E10" s="3">
        <v>5</v>
      </c>
      <c r="F10">
        <v>1</v>
      </c>
      <c r="G10">
        <v>0</v>
      </c>
      <c r="H10">
        <v>0</v>
      </c>
      <c r="I10" s="3">
        <f t="shared" si="1"/>
        <v>279.935</v>
      </c>
      <c r="J10">
        <f t="shared" si="2"/>
        <v>265.56875000000002</v>
      </c>
      <c r="K10">
        <f t="shared" si="0"/>
        <v>36.696249999999999</v>
      </c>
      <c r="L10" s="2">
        <f t="shared" si="3"/>
        <v>11.16500000000002</v>
      </c>
    </row>
    <row r="11" spans="1:256" x14ac:dyDescent="0.4">
      <c r="B11" t="s">
        <v>88</v>
      </c>
      <c r="C11" s="2">
        <v>327.60000000000002</v>
      </c>
      <c r="D11" s="3">
        <v>1</v>
      </c>
      <c r="E11" s="3">
        <v>6</v>
      </c>
      <c r="F11">
        <v>0</v>
      </c>
      <c r="G11">
        <v>1</v>
      </c>
      <c r="H11">
        <v>0</v>
      </c>
      <c r="I11" s="3">
        <f t="shared" si="1"/>
        <v>322.255</v>
      </c>
      <c r="J11">
        <f t="shared" si="2"/>
        <v>296.96250000000003</v>
      </c>
      <c r="K11">
        <f t="shared" si="0"/>
        <v>35.98250000000003</v>
      </c>
      <c r="L11" s="2">
        <f t="shared" si="3"/>
        <v>5.3450000000000273</v>
      </c>
    </row>
    <row r="12" spans="1:256" x14ac:dyDescent="0.4">
      <c r="B12" t="s">
        <v>89</v>
      </c>
      <c r="C12" s="2">
        <v>321.2</v>
      </c>
      <c r="D12" s="3">
        <v>1</v>
      </c>
      <c r="E12" s="3">
        <v>7</v>
      </c>
      <c r="F12">
        <v>0</v>
      </c>
      <c r="G12">
        <v>0</v>
      </c>
      <c r="H12">
        <v>1</v>
      </c>
      <c r="I12" s="3">
        <f t="shared" si="1"/>
        <v>324.17499999999995</v>
      </c>
      <c r="J12">
        <f t="shared" si="2"/>
        <v>285.45625000000001</v>
      </c>
      <c r="K12">
        <f t="shared" si="0"/>
        <v>32.768750000000004</v>
      </c>
      <c r="L12" s="2">
        <f t="shared" si="3"/>
        <v>-2.9749999999999659</v>
      </c>
    </row>
    <row r="13" spans="1:256" x14ac:dyDescent="0.4">
      <c r="B13" t="s">
        <v>90</v>
      </c>
      <c r="C13" s="2">
        <v>354.3</v>
      </c>
      <c r="D13" s="3">
        <v>1</v>
      </c>
      <c r="E13" s="3">
        <v>8</v>
      </c>
      <c r="F13">
        <v>0</v>
      </c>
      <c r="G13">
        <v>0</v>
      </c>
      <c r="H13">
        <v>0</v>
      </c>
      <c r="I13" s="3">
        <f t="shared" si="1"/>
        <v>351.85500000000002</v>
      </c>
      <c r="J13">
        <f t="shared" si="2"/>
        <v>313.45000000000005</v>
      </c>
      <c r="K13">
        <f t="shared" si="0"/>
        <v>43.295000000000016</v>
      </c>
      <c r="L13" s="2">
        <f t="shared" si="3"/>
        <v>2.4449999999999932</v>
      </c>
    </row>
    <row r="14" spans="1:256" x14ac:dyDescent="0.4">
      <c r="B14" t="s">
        <v>91</v>
      </c>
      <c r="C14" s="2">
        <v>304.60000000000002</v>
      </c>
      <c r="D14" s="3">
        <v>1</v>
      </c>
      <c r="E14" s="3">
        <v>9</v>
      </c>
      <c r="F14">
        <v>1</v>
      </c>
      <c r="G14">
        <v>0</v>
      </c>
      <c r="H14">
        <v>0</v>
      </c>
      <c r="I14" s="3">
        <f t="shared" si="1"/>
        <v>300.36</v>
      </c>
      <c r="J14">
        <f t="shared" si="2"/>
        <v>258.64375000000001</v>
      </c>
      <c r="K14">
        <f t="shared" si="0"/>
        <v>50.196249999999999</v>
      </c>
      <c r="L14" s="2">
        <f t="shared" si="3"/>
        <v>4.2400000000000091</v>
      </c>
    </row>
    <row r="15" spans="1:256" x14ac:dyDescent="0.4">
      <c r="B15" t="s">
        <v>92</v>
      </c>
      <c r="C15" s="2">
        <v>348.4</v>
      </c>
      <c r="D15" s="3">
        <v>1</v>
      </c>
      <c r="E15" s="3">
        <v>10</v>
      </c>
      <c r="F15">
        <v>0</v>
      </c>
      <c r="G15">
        <v>1</v>
      </c>
      <c r="H15">
        <v>0</v>
      </c>
      <c r="I15" s="3">
        <f t="shared" si="1"/>
        <v>342.68</v>
      </c>
      <c r="J15">
        <f t="shared" si="2"/>
        <v>297.33749999999998</v>
      </c>
      <c r="K15">
        <f t="shared" si="0"/>
        <v>56.782499999999985</v>
      </c>
      <c r="L15" s="2">
        <f t="shared" si="3"/>
        <v>5.7199999999999704</v>
      </c>
    </row>
    <row r="16" spans="1:256" x14ac:dyDescent="0.4">
      <c r="B16" t="s">
        <v>93</v>
      </c>
      <c r="C16" s="2">
        <v>350.8</v>
      </c>
      <c r="D16" s="3">
        <v>1</v>
      </c>
      <c r="E16" s="3">
        <v>11</v>
      </c>
      <c r="F16">
        <v>0</v>
      </c>
      <c r="G16">
        <v>0</v>
      </c>
      <c r="H16">
        <v>1</v>
      </c>
      <c r="I16" s="3">
        <f t="shared" si="1"/>
        <v>344.59999999999997</v>
      </c>
      <c r="J16">
        <f t="shared" si="2"/>
        <v>294.63125000000002</v>
      </c>
      <c r="K16">
        <f t="shared" si="0"/>
        <v>62.368750000000027</v>
      </c>
      <c r="L16" s="2">
        <f t="shared" si="3"/>
        <v>6.2000000000000455</v>
      </c>
    </row>
    <row r="17" spans="2:12" ht="12.75" customHeight="1" x14ac:dyDescent="0.4">
      <c r="B17" t="s">
        <v>94</v>
      </c>
      <c r="C17" s="2">
        <v>374.2</v>
      </c>
      <c r="D17" s="3">
        <v>1</v>
      </c>
      <c r="E17" s="3">
        <v>12</v>
      </c>
      <c r="F17">
        <v>0</v>
      </c>
      <c r="G17">
        <v>0</v>
      </c>
      <c r="H17">
        <v>0</v>
      </c>
      <c r="I17" s="3">
        <f t="shared" si="1"/>
        <v>372.28</v>
      </c>
      <c r="J17">
        <f t="shared" si="2"/>
        <v>312.92500000000001</v>
      </c>
      <c r="K17">
        <f t="shared" si="0"/>
        <v>63.194999999999993</v>
      </c>
      <c r="L17" s="2">
        <f t="shared" si="3"/>
        <v>1.9200000000000159</v>
      </c>
    </row>
    <row r="18" spans="2:12" x14ac:dyDescent="0.4">
      <c r="B18" t="s">
        <v>95</v>
      </c>
      <c r="C18" s="2">
        <v>319.5</v>
      </c>
      <c r="D18" s="3">
        <v>1</v>
      </c>
      <c r="E18" s="3">
        <v>13</v>
      </c>
      <c r="F18">
        <v>1</v>
      </c>
      <c r="G18">
        <v>0</v>
      </c>
      <c r="H18">
        <v>0</v>
      </c>
      <c r="I18" s="3">
        <f t="shared" si="1"/>
        <v>320.78500000000003</v>
      </c>
      <c r="J18">
        <f t="shared" si="2"/>
        <v>253.11875000000001</v>
      </c>
      <c r="K18">
        <f t="shared" si="0"/>
        <v>65.096249999999969</v>
      </c>
      <c r="L18" s="2">
        <f t="shared" si="3"/>
        <v>-1.285000000000025</v>
      </c>
    </row>
    <row r="19" spans="2:12" x14ac:dyDescent="0.4">
      <c r="B19" t="s">
        <v>96</v>
      </c>
      <c r="C19" s="2">
        <v>361.5</v>
      </c>
      <c r="D19" s="3">
        <v>1</v>
      </c>
      <c r="E19" s="3">
        <v>14</v>
      </c>
      <c r="F19">
        <v>0</v>
      </c>
      <c r="G19">
        <v>1</v>
      </c>
      <c r="H19">
        <v>0</v>
      </c>
      <c r="I19" s="3">
        <f t="shared" si="1"/>
        <v>363.10499999999996</v>
      </c>
      <c r="J19">
        <f t="shared" si="2"/>
        <v>290.01250000000005</v>
      </c>
      <c r="K19">
        <f t="shared" si="0"/>
        <v>69.882500000000007</v>
      </c>
      <c r="L19" s="2">
        <f t="shared" si="3"/>
        <v>-1.6049999999999613</v>
      </c>
    </row>
    <row r="20" spans="2:12" x14ac:dyDescent="0.4">
      <c r="B20" t="s">
        <v>97</v>
      </c>
      <c r="C20" s="2">
        <v>369.4</v>
      </c>
      <c r="D20" s="3">
        <v>1</v>
      </c>
      <c r="E20" s="3">
        <v>15</v>
      </c>
      <c r="F20">
        <v>0</v>
      </c>
      <c r="G20">
        <v>0</v>
      </c>
      <c r="H20">
        <v>1</v>
      </c>
      <c r="I20" s="3">
        <f t="shared" si="1"/>
        <v>365.02499999999998</v>
      </c>
      <c r="J20">
        <f t="shared" si="2"/>
        <v>292.80624999999998</v>
      </c>
      <c r="K20">
        <f t="shared" si="0"/>
        <v>80.96875</v>
      </c>
      <c r="L20" s="2">
        <f t="shared" si="3"/>
        <v>4.375</v>
      </c>
    </row>
    <row r="21" spans="2:12" x14ac:dyDescent="0.4">
      <c r="B21" t="s">
        <v>98</v>
      </c>
      <c r="C21" s="2">
        <v>395.2</v>
      </c>
      <c r="D21" s="3">
        <v>1</v>
      </c>
      <c r="E21" s="3">
        <v>16</v>
      </c>
      <c r="F21">
        <v>0</v>
      </c>
      <c r="G21">
        <v>0</v>
      </c>
      <c r="H21">
        <v>0</v>
      </c>
      <c r="I21" s="3">
        <f t="shared" si="1"/>
        <v>392.70499999999998</v>
      </c>
      <c r="J21">
        <f t="shared" si="2"/>
        <v>313.5</v>
      </c>
      <c r="K21">
        <f t="shared" si="0"/>
        <v>84.194999999999993</v>
      </c>
      <c r="L21" s="2">
        <f t="shared" si="3"/>
        <v>2.4950000000000045</v>
      </c>
    </row>
    <row r="22" spans="2:12" x14ac:dyDescent="0.4">
      <c r="B22" t="s">
        <v>99</v>
      </c>
      <c r="C22" s="2">
        <v>332.6</v>
      </c>
      <c r="D22" s="3">
        <v>1</v>
      </c>
      <c r="E22" s="3">
        <v>17</v>
      </c>
      <c r="F22">
        <v>1</v>
      </c>
      <c r="G22">
        <v>0</v>
      </c>
      <c r="H22">
        <v>0</v>
      </c>
      <c r="I22" s="3">
        <f t="shared" si="1"/>
        <v>341.21</v>
      </c>
      <c r="J22">
        <f t="shared" si="2"/>
        <v>245.79375000000005</v>
      </c>
      <c r="K22">
        <f t="shared" si="0"/>
        <v>78.196249999999992</v>
      </c>
      <c r="L22" s="2">
        <f t="shared" si="3"/>
        <v>-8.6099999999999568</v>
      </c>
    </row>
    <row r="23" spans="2:12" x14ac:dyDescent="0.4">
      <c r="B23" t="s">
        <v>100</v>
      </c>
      <c r="C23" s="2">
        <v>383.5</v>
      </c>
      <c r="D23" s="3">
        <v>1</v>
      </c>
      <c r="E23" s="3">
        <v>18</v>
      </c>
      <c r="F23">
        <v>0</v>
      </c>
      <c r="G23">
        <v>1</v>
      </c>
      <c r="H23">
        <v>0</v>
      </c>
      <c r="I23" s="3">
        <f t="shared" si="1"/>
        <v>383.53000000000003</v>
      </c>
      <c r="J23">
        <f t="shared" si="2"/>
        <v>291.58749999999998</v>
      </c>
      <c r="K23">
        <f t="shared" si="0"/>
        <v>91.882500000000007</v>
      </c>
      <c r="L23" s="2">
        <f t="shared" si="3"/>
        <v>-3.0000000000029559E-2</v>
      </c>
    </row>
    <row r="24" spans="2:12" x14ac:dyDescent="0.4">
      <c r="B24" t="s">
        <v>101</v>
      </c>
      <c r="C24" s="2">
        <v>383.8</v>
      </c>
      <c r="D24" s="3">
        <v>1</v>
      </c>
      <c r="E24" s="3">
        <v>19</v>
      </c>
      <c r="F24">
        <v>0</v>
      </c>
      <c r="G24">
        <v>0</v>
      </c>
      <c r="H24">
        <v>1</v>
      </c>
      <c r="I24" s="3">
        <f t="shared" si="1"/>
        <v>385.44999999999993</v>
      </c>
      <c r="J24">
        <f t="shared" si="2"/>
        <v>286.78125</v>
      </c>
      <c r="K24">
        <f t="shared" si="0"/>
        <v>95.368750000000034</v>
      </c>
      <c r="L24" s="2">
        <f t="shared" si="3"/>
        <v>-1.6499999999999204</v>
      </c>
    </row>
    <row r="25" spans="2:12" x14ac:dyDescent="0.4">
      <c r="B25" t="s">
        <v>102</v>
      </c>
      <c r="C25" s="2">
        <v>407.4</v>
      </c>
      <c r="D25" s="3">
        <v>1</v>
      </c>
      <c r="E25" s="3">
        <v>20</v>
      </c>
      <c r="F25">
        <v>0</v>
      </c>
      <c r="G25">
        <v>0</v>
      </c>
      <c r="H25">
        <v>0</v>
      </c>
      <c r="I25" s="3">
        <f t="shared" si="1"/>
        <v>413.13</v>
      </c>
      <c r="J25">
        <f t="shared" si="2"/>
        <v>305.27499999999998</v>
      </c>
      <c r="K25">
        <f t="shared" si="0"/>
        <v>96.394999999999982</v>
      </c>
      <c r="L25" s="2">
        <f t="shared" si="3"/>
        <v>-5.7300000000000182</v>
      </c>
    </row>
    <row r="26" spans="2:12" x14ac:dyDescent="0.4">
      <c r="B26" t="s">
        <v>103</v>
      </c>
      <c r="C26" s="4"/>
      <c r="D26" s="4"/>
      <c r="E26" s="3"/>
      <c r="F26" s="3"/>
      <c r="G26" s="3"/>
      <c r="H26" s="3"/>
      <c r="L26" s="2"/>
    </row>
    <row r="27" spans="2:12" x14ac:dyDescent="0.4">
      <c r="B27" t="s">
        <v>104</v>
      </c>
      <c r="C27" s="1"/>
      <c r="D27" s="1"/>
    </row>
    <row r="28" spans="2:12" x14ac:dyDescent="0.4">
      <c r="B28" t="s">
        <v>105</v>
      </c>
      <c r="C28" s="1"/>
      <c r="D28" s="1"/>
    </row>
    <row r="29" spans="2:12" x14ac:dyDescent="0.4">
      <c r="B29" t="s">
        <v>106</v>
      </c>
      <c r="C29" s="1"/>
      <c r="D29" s="1"/>
    </row>
    <row r="30" spans="2:12" ht="12.75" customHeight="1" x14ac:dyDescent="0.4">
      <c r="C30" s="1"/>
      <c r="D30" s="1"/>
    </row>
    <row r="31" spans="2:12" x14ac:dyDescent="0.4">
      <c r="C31" s="26" t="s">
        <v>8</v>
      </c>
      <c r="D31" s="26"/>
      <c r="E31" s="26"/>
      <c r="F31" s="26"/>
    </row>
    <row r="32" spans="2:12" x14ac:dyDescent="0.4">
      <c r="C32" s="26"/>
      <c r="D32" s="26"/>
      <c r="E32" s="26"/>
      <c r="F32" s="26"/>
      <c r="J32" t="s">
        <v>23</v>
      </c>
    </row>
    <row r="33" spans="3:13" x14ac:dyDescent="0.4">
      <c r="C33" s="1">
        <f t="array" ref="C33:G37">LINEST(C6:C25,E6:H25,1,1)</f>
        <v>-22.573750000000011</v>
      </c>
      <c r="D33" s="1">
        <v>-19.387500000000006</v>
      </c>
      <c r="E33">
        <v>-56.601249999999972</v>
      </c>
      <c r="F33">
        <v>5.1062499999999993</v>
      </c>
      <c r="G33">
        <v>311.005</v>
      </c>
      <c r="I33" s="9" t="s">
        <v>7</v>
      </c>
      <c r="J33">
        <f>INDEX(C$33:G$33,1,M33)</f>
        <v>311.005</v>
      </c>
      <c r="M33">
        <v>5</v>
      </c>
    </row>
    <row r="34" spans="3:13" ht="15" x14ac:dyDescent="0.5">
      <c r="C34" s="1">
        <v>3.8584810671860699</v>
      </c>
      <c r="D34" s="1">
        <v>3.8809360447362882</v>
      </c>
      <c r="E34">
        <v>3.9180750349076621</v>
      </c>
      <c r="F34">
        <v>0.24068543613327897</v>
      </c>
      <c r="G34">
        <v>3.9694859029014506</v>
      </c>
      <c r="I34" s="6" t="s">
        <v>4</v>
      </c>
      <c r="J34">
        <f>INDEX(C$33:G$33,1,M34)</f>
        <v>5.1062499999999993</v>
      </c>
      <c r="M34">
        <v>4</v>
      </c>
    </row>
    <row r="35" spans="3:13" ht="14.25" customHeight="1" x14ac:dyDescent="0.4">
      <c r="C35" s="1">
        <v>0.98173753366479599</v>
      </c>
      <c r="D35" s="1">
        <v>6.0889134224972112</v>
      </c>
      <c r="E35" t="e">
        <v>#N/A</v>
      </c>
      <c r="F35" t="e">
        <v>#N/A</v>
      </c>
      <c r="G35" t="e">
        <v>#N/A</v>
      </c>
      <c r="I35" s="10" t="s">
        <v>1</v>
      </c>
      <c r="J35">
        <f>INDEX(C$33:G$33,1,M35)</f>
        <v>-56.601249999999972</v>
      </c>
      <c r="M35">
        <v>3</v>
      </c>
    </row>
    <row r="36" spans="3:13" x14ac:dyDescent="0.4">
      <c r="C36" s="1">
        <v>201.58918755383226</v>
      </c>
      <c r="D36" s="1">
        <v>15</v>
      </c>
      <c r="E36" t="e">
        <v>#N/A</v>
      </c>
      <c r="F36" t="e">
        <v>#N/A</v>
      </c>
      <c r="G36" t="e">
        <v>#N/A</v>
      </c>
      <c r="I36" s="9" t="s">
        <v>2</v>
      </c>
      <c r="J36">
        <f>INDEX(C$33:G$33,1,M36)</f>
        <v>-19.387500000000006</v>
      </c>
      <c r="M36">
        <v>2</v>
      </c>
    </row>
    <row r="37" spans="3:13" x14ac:dyDescent="0.4">
      <c r="C37" s="1">
        <v>29895.568999999989</v>
      </c>
      <c r="D37" s="1">
        <v>556.1230000000005</v>
      </c>
      <c r="E37" t="e">
        <v>#N/A</v>
      </c>
      <c r="F37" t="e">
        <v>#N/A</v>
      </c>
      <c r="G37" t="e">
        <v>#N/A</v>
      </c>
      <c r="I37" s="9" t="s">
        <v>3</v>
      </c>
      <c r="J37">
        <f>INDEX(C$33:G$33,1,M37)</f>
        <v>-22.573750000000011</v>
      </c>
      <c r="M37">
        <v>1</v>
      </c>
    </row>
    <row r="38" spans="3:13" x14ac:dyDescent="0.4">
      <c r="C38" s="1"/>
      <c r="D38" s="1"/>
    </row>
    <row r="39" spans="3:13" x14ac:dyDescent="0.4">
      <c r="C39" s="1"/>
      <c r="D39" s="1"/>
    </row>
    <row r="40" spans="3:13" x14ac:dyDescent="0.4">
      <c r="C40" s="1"/>
      <c r="D40" s="1"/>
    </row>
    <row r="42" spans="3:13" ht="24.9" x14ac:dyDescent="0.8">
      <c r="C42" s="13" t="s">
        <v>51</v>
      </c>
    </row>
    <row r="43" spans="3:13" x14ac:dyDescent="0.4">
      <c r="C43" t="s">
        <v>71</v>
      </c>
    </row>
    <row r="45" spans="3:13" x14ac:dyDescent="0.4">
      <c r="C45" t="s">
        <v>72</v>
      </c>
    </row>
    <row r="46" spans="3:13" x14ac:dyDescent="0.4">
      <c r="C46" s="1"/>
      <c r="D46" s="1"/>
    </row>
    <row r="47" spans="3:13" x14ac:dyDescent="0.4">
      <c r="C47" s="1" t="s">
        <v>73</v>
      </c>
      <c r="D47" s="1"/>
    </row>
    <row r="48" spans="3:13" x14ac:dyDescent="0.4">
      <c r="C48" s="1">
        <f t="array" ref="C48:D52">LINEST(C6:C25,E6:E25,1,1)</f>
        <v>5.732631578947367</v>
      </c>
      <c r="D48" s="1">
        <v>279.78736842105263</v>
      </c>
    </row>
    <row r="49" spans="2:15" x14ac:dyDescent="0.4">
      <c r="C49" s="1">
        <v>0.84751116758188461</v>
      </c>
      <c r="D49" s="1">
        <v>10.15246217484987</v>
      </c>
    </row>
    <row r="50" spans="2:15" x14ac:dyDescent="0.4">
      <c r="C50" s="1">
        <v>0.71765923894354267</v>
      </c>
      <c r="D50" s="1">
        <v>21.855273829262497</v>
      </c>
    </row>
    <row r="51" spans="2:15" x14ac:dyDescent="0.4">
      <c r="C51" s="1">
        <v>45.752750161357987</v>
      </c>
      <c r="D51" s="1">
        <v>18</v>
      </c>
    </row>
    <row r="52" spans="2:15" x14ac:dyDescent="0.4">
      <c r="C52" s="1">
        <v>21853.938105263158</v>
      </c>
      <c r="D52" s="1">
        <v>8597.7538947368321</v>
      </c>
    </row>
    <row r="53" spans="2:15" x14ac:dyDescent="0.4">
      <c r="C53" s="1"/>
      <c r="D53" s="1"/>
    </row>
    <row r="54" spans="2:15" x14ac:dyDescent="0.4">
      <c r="C54" s="1"/>
      <c r="D54" s="1"/>
    </row>
    <row r="55" spans="2:15" ht="17.399999999999999" x14ac:dyDescent="0.55000000000000004">
      <c r="B55" s="19" t="s">
        <v>52</v>
      </c>
      <c r="D55" s="1"/>
      <c r="I55" s="1">
        <f>D52</f>
        <v>8597.7538947368321</v>
      </c>
      <c r="K55" s="20" t="s">
        <v>65</v>
      </c>
      <c r="L55">
        <v>3</v>
      </c>
    </row>
    <row r="56" spans="2:15" ht="17.399999999999999" x14ac:dyDescent="0.55000000000000004">
      <c r="B56" s="19" t="s">
        <v>53</v>
      </c>
      <c r="D56" s="1"/>
      <c r="I56" s="1">
        <f>D37</f>
        <v>556.1230000000005</v>
      </c>
      <c r="K56" s="20" t="s">
        <v>55</v>
      </c>
      <c r="L56" s="18">
        <f>D36</f>
        <v>15</v>
      </c>
    </row>
    <row r="57" spans="2:15" x14ac:dyDescent="0.4">
      <c r="C57" s="1"/>
      <c r="D57" s="1"/>
    </row>
    <row r="58" spans="2:15" x14ac:dyDescent="0.4">
      <c r="C58" s="1"/>
      <c r="D58" s="1"/>
    </row>
    <row r="59" spans="2:15" x14ac:dyDescent="0.4">
      <c r="C59" s="1"/>
      <c r="D59" s="1"/>
    </row>
    <row r="60" spans="2:15" ht="17.7" x14ac:dyDescent="0.6">
      <c r="C60" s="1"/>
      <c r="D60" s="1"/>
      <c r="L60" s="7"/>
    </row>
    <row r="61" spans="2:15" ht="17.7" x14ac:dyDescent="0.6">
      <c r="C61" s="1"/>
      <c r="D61" s="1"/>
      <c r="L61" s="7" t="s">
        <v>56</v>
      </c>
      <c r="O61" s="1">
        <f>(I55-I56)/3</f>
        <v>2680.5436315789439</v>
      </c>
    </row>
    <row r="62" spans="2:15" ht="17.7" x14ac:dyDescent="0.6">
      <c r="C62" s="1"/>
      <c r="D62" s="1"/>
      <c r="L62" s="7"/>
    </row>
    <row r="63" spans="2:15" ht="17.7" x14ac:dyDescent="0.6">
      <c r="C63" s="1"/>
      <c r="D63" s="1"/>
      <c r="L63" s="7" t="s">
        <v>57</v>
      </c>
      <c r="O63">
        <f>I56/L56</f>
        <v>37.074866666666701</v>
      </c>
    </row>
    <row r="64" spans="2:15" ht="12.75" customHeight="1" x14ac:dyDescent="0.6">
      <c r="C64" s="1"/>
      <c r="D64" s="1"/>
      <c r="L64" s="7"/>
    </row>
    <row r="65" spans="3:15" ht="17.7" x14ac:dyDescent="0.6">
      <c r="C65" s="1"/>
      <c r="D65" s="1"/>
      <c r="L65" s="7"/>
    </row>
    <row r="66" spans="3:15" ht="17.7" x14ac:dyDescent="0.6">
      <c r="C66" s="1"/>
      <c r="D66" s="1"/>
      <c r="L66" s="7" t="s">
        <v>54</v>
      </c>
      <c r="O66">
        <f>O61/O63</f>
        <v>72.300829984884857</v>
      </c>
    </row>
    <row r="67" spans="3:15" x14ac:dyDescent="0.4">
      <c r="C67" s="1"/>
      <c r="D67" s="1"/>
    </row>
    <row r="68" spans="3:15" x14ac:dyDescent="0.4">
      <c r="C68" s="1"/>
      <c r="D68" s="1"/>
    </row>
    <row r="69" spans="3:15" ht="17.7" x14ac:dyDescent="0.6">
      <c r="C69" s="1"/>
      <c r="D69" s="1"/>
      <c r="L69" s="7" t="s">
        <v>58</v>
      </c>
      <c r="O69">
        <f>FDIST(O66,L55,L56)</f>
        <v>3.7923786773613356E-9</v>
      </c>
    </row>
    <row r="70" spans="3:15" x14ac:dyDescent="0.4">
      <c r="C70" s="1"/>
      <c r="D70" s="1"/>
    </row>
    <row r="71" spans="3:15" ht="12.75" customHeight="1" x14ac:dyDescent="0.4">
      <c r="C71" s="1"/>
      <c r="D71" s="1"/>
      <c r="L71" s="28" t="s">
        <v>59</v>
      </c>
      <c r="M71" s="28"/>
      <c r="N71" s="28"/>
      <c r="O71" s="28"/>
    </row>
    <row r="72" spans="3:15" x14ac:dyDescent="0.4">
      <c r="C72" s="1"/>
      <c r="D72" s="1"/>
      <c r="L72" s="28"/>
      <c r="M72" s="28"/>
      <c r="N72" s="28"/>
      <c r="O72" s="28"/>
    </row>
    <row r="73" spans="3:15" x14ac:dyDescent="0.4">
      <c r="C73" s="1"/>
      <c r="D73" s="1"/>
      <c r="L73" s="28"/>
      <c r="M73" s="28"/>
      <c r="N73" s="28"/>
      <c r="O73" s="28"/>
    </row>
    <row r="74" spans="3:15" x14ac:dyDescent="0.4">
      <c r="C74" s="1"/>
      <c r="D74" s="1"/>
      <c r="L74" s="28"/>
      <c r="M74" s="28"/>
      <c r="N74" s="28"/>
      <c r="O74" s="28"/>
    </row>
    <row r="75" spans="3:15" x14ac:dyDescent="0.4">
      <c r="C75" s="1"/>
      <c r="D75" s="1"/>
      <c r="L75" s="28"/>
      <c r="M75" s="28"/>
      <c r="N75" s="28"/>
      <c r="O75" s="28"/>
    </row>
    <row r="76" spans="3:15" x14ac:dyDescent="0.4">
      <c r="C76" s="1"/>
      <c r="D76" s="1"/>
    </row>
    <row r="77" spans="3:15" x14ac:dyDescent="0.4">
      <c r="C77" s="1"/>
      <c r="D77" s="1"/>
    </row>
    <row r="78" spans="3:15" x14ac:dyDescent="0.4">
      <c r="C78" s="1"/>
      <c r="D78" s="1"/>
    </row>
    <row r="79" spans="3:15" x14ac:dyDescent="0.4">
      <c r="C79" s="1" t="s">
        <v>60</v>
      </c>
      <c r="D79" s="1"/>
      <c r="M79">
        <v>0</v>
      </c>
    </row>
    <row r="80" spans="3:15" x14ac:dyDescent="0.4">
      <c r="C80" s="1"/>
      <c r="D80" s="1"/>
      <c r="M80">
        <v>0</v>
      </c>
    </row>
    <row r="81" spans="3:17" x14ac:dyDescent="0.4">
      <c r="C81" s="1"/>
      <c r="D81" s="1"/>
      <c r="M81">
        <v>0</v>
      </c>
    </row>
    <row r="82" spans="3:17" x14ac:dyDescent="0.4">
      <c r="C82" s="1"/>
      <c r="D82" s="1"/>
      <c r="L82" t="s">
        <v>61</v>
      </c>
    </row>
    <row r="83" spans="3:17" x14ac:dyDescent="0.4">
      <c r="C83" s="1"/>
      <c r="D83" s="1"/>
    </row>
    <row r="84" spans="3:17" x14ac:dyDescent="0.4">
      <c r="C84" s="1"/>
      <c r="D84" s="1"/>
      <c r="M84">
        <v>0</v>
      </c>
      <c r="N84">
        <v>0</v>
      </c>
      <c r="O84">
        <v>1</v>
      </c>
      <c r="P84">
        <v>0</v>
      </c>
      <c r="Q84">
        <v>0</v>
      </c>
    </row>
    <row r="85" spans="3:17" x14ac:dyDescent="0.4">
      <c r="C85" s="1"/>
      <c r="D85" s="1"/>
      <c r="M85">
        <v>0</v>
      </c>
      <c r="N85">
        <v>0</v>
      </c>
      <c r="O85">
        <v>0</v>
      </c>
      <c r="P85">
        <v>1</v>
      </c>
      <c r="Q85">
        <v>0</v>
      </c>
    </row>
    <row r="86" spans="3:17" x14ac:dyDescent="0.4">
      <c r="C86" s="1"/>
      <c r="D86" s="1"/>
      <c r="M86">
        <v>0</v>
      </c>
      <c r="N86">
        <v>0</v>
      </c>
      <c r="O86">
        <v>0</v>
      </c>
      <c r="P86">
        <v>0</v>
      </c>
      <c r="Q86">
        <v>1</v>
      </c>
    </row>
    <row r="87" spans="3:17" x14ac:dyDescent="0.4">
      <c r="C87" s="1"/>
      <c r="D87" s="1"/>
      <c r="L87" t="s">
        <v>62</v>
      </c>
    </row>
    <row r="88" spans="3:17" x14ac:dyDescent="0.4">
      <c r="C88" s="1"/>
      <c r="D88" s="1"/>
    </row>
    <row r="89" spans="3:17" x14ac:dyDescent="0.4">
      <c r="C89" s="1"/>
      <c r="D89" s="1"/>
    </row>
    <row r="90" spans="3:17" x14ac:dyDescent="0.4">
      <c r="C90" s="1"/>
      <c r="D90" s="1"/>
      <c r="O90" s="8">
        <f t="array" ref="O90:O92">MMULT(M84:Q86,J33:J37)-M79:M81</f>
        <v>-56.601249999999972</v>
      </c>
    </row>
    <row r="91" spans="3:17" x14ac:dyDescent="0.4">
      <c r="C91" s="1"/>
      <c r="D91" s="1"/>
      <c r="O91" s="8">
        <v>-19.387500000000006</v>
      </c>
    </row>
    <row r="92" spans="3:17" x14ac:dyDescent="0.4">
      <c r="C92" s="1"/>
      <c r="D92" s="1"/>
      <c r="O92" s="8">
        <v>-22.573750000000011</v>
      </c>
    </row>
    <row r="93" spans="3:17" x14ac:dyDescent="0.4">
      <c r="C93" s="1"/>
      <c r="D93" s="1"/>
    </row>
    <row r="94" spans="3:17" x14ac:dyDescent="0.4">
      <c r="C94" s="1"/>
      <c r="D94" s="1"/>
    </row>
    <row r="95" spans="3:17" x14ac:dyDescent="0.4">
      <c r="C95" s="1"/>
      <c r="D95" s="1"/>
    </row>
    <row r="96" spans="3:17" x14ac:dyDescent="0.4">
      <c r="C96" s="1"/>
      <c r="D96" s="1"/>
    </row>
    <row r="97" spans="3:21" x14ac:dyDescent="0.4">
      <c r="C97" s="1"/>
      <c r="D97" s="1"/>
      <c r="M97">
        <f t="array" ref="M97:Q101">MINVERSE(MMULT(TRANSPOSE(D6:H25),D6:H25))</f>
        <v>0.42500000000000004</v>
      </c>
      <c r="N97">
        <v>-1.8750000000000003E-2</v>
      </c>
      <c r="O97">
        <v>-0.25624999999999998</v>
      </c>
      <c r="P97">
        <v>-0.23749999999999996</v>
      </c>
      <c r="Q97">
        <v>-0.21874999999999994</v>
      </c>
    </row>
    <row r="98" spans="3:21" x14ac:dyDescent="0.4">
      <c r="C98" s="1"/>
      <c r="D98" s="1"/>
      <c r="M98">
        <v>-1.8750000000000006E-2</v>
      </c>
      <c r="N98">
        <v>1.5625000000000003E-3</v>
      </c>
      <c r="O98">
        <v>4.6875000000000024E-3</v>
      </c>
      <c r="P98">
        <v>3.125000000000001E-3</v>
      </c>
      <c r="Q98">
        <v>1.5624999999999997E-3</v>
      </c>
    </row>
    <row r="99" spans="3:21" x14ac:dyDescent="0.4">
      <c r="C99" s="1"/>
      <c r="D99" s="1"/>
      <c r="M99">
        <v>-0.25624999999999992</v>
      </c>
      <c r="N99">
        <v>4.687499999999999E-3</v>
      </c>
      <c r="O99">
        <v>0.41406249999999994</v>
      </c>
      <c r="P99">
        <v>0.20937499999999995</v>
      </c>
      <c r="Q99">
        <v>0.20468749999999991</v>
      </c>
    </row>
    <row r="100" spans="3:21" x14ac:dyDescent="0.4">
      <c r="C100" s="1"/>
      <c r="D100" s="1"/>
      <c r="M100">
        <v>-0.23749999999999993</v>
      </c>
      <c r="N100">
        <v>3.1249999999999997E-3</v>
      </c>
      <c r="O100">
        <v>0.20937499999999995</v>
      </c>
      <c r="P100">
        <v>0.40625</v>
      </c>
      <c r="Q100">
        <v>0.20312499999999992</v>
      </c>
    </row>
    <row r="101" spans="3:21" x14ac:dyDescent="0.4">
      <c r="C101" s="1"/>
      <c r="D101" s="1"/>
      <c r="M101">
        <v>-0.21874999999999989</v>
      </c>
      <c r="N101">
        <v>1.5624999999999992E-3</v>
      </c>
      <c r="O101">
        <v>0.20468749999999991</v>
      </c>
      <c r="P101">
        <v>0.20312499999999992</v>
      </c>
      <c r="Q101">
        <v>0.40156249999999988</v>
      </c>
    </row>
    <row r="102" spans="3:21" x14ac:dyDescent="0.4">
      <c r="C102" s="1"/>
      <c r="D102" s="1"/>
    </row>
    <row r="103" spans="3:21" x14ac:dyDescent="0.4">
      <c r="C103" s="1"/>
      <c r="D103" s="1"/>
    </row>
    <row r="104" spans="3:21" x14ac:dyDescent="0.4">
      <c r="C104" s="1"/>
      <c r="D104" s="1"/>
      <c r="M104">
        <f>O99</f>
        <v>0.41406249999999994</v>
      </c>
      <c r="N104">
        <f t="shared" ref="N104:O106" si="4">P99</f>
        <v>0.20937499999999995</v>
      </c>
      <c r="O104">
        <f t="shared" si="4"/>
        <v>0.20468749999999991</v>
      </c>
      <c r="S104">
        <f t="array" ref="S104:U106">MMULT(MMULT(M84:Q86,M97:Q101),TRANSPOSE(M84:Q86))</f>
        <v>0.41406249999999994</v>
      </c>
      <c r="T104">
        <v>0.20937499999999995</v>
      </c>
      <c r="U104">
        <v>0.20468749999999991</v>
      </c>
    </row>
    <row r="105" spans="3:21" x14ac:dyDescent="0.4">
      <c r="C105" s="1"/>
      <c r="D105" s="1"/>
      <c r="M105">
        <f>O100</f>
        <v>0.20937499999999995</v>
      </c>
      <c r="N105">
        <f t="shared" si="4"/>
        <v>0.40625</v>
      </c>
      <c r="O105">
        <f t="shared" si="4"/>
        <v>0.20312499999999992</v>
      </c>
      <c r="Q105" s="12" t="s">
        <v>63</v>
      </c>
      <c r="S105">
        <v>0.20937499999999995</v>
      </c>
      <c r="T105">
        <v>0.40625</v>
      </c>
      <c r="U105">
        <v>0.20312499999999992</v>
      </c>
    </row>
    <row r="106" spans="3:21" x14ac:dyDescent="0.4">
      <c r="C106" s="1"/>
      <c r="D106" s="1"/>
      <c r="M106">
        <f>O101</f>
        <v>0.20468749999999991</v>
      </c>
      <c r="N106">
        <f t="shared" si="4"/>
        <v>0.20312499999999992</v>
      </c>
      <c r="O106">
        <f t="shared" si="4"/>
        <v>0.40156249999999988</v>
      </c>
      <c r="S106">
        <v>0.20468749999999991</v>
      </c>
      <c r="T106">
        <v>0.20312499999999992</v>
      </c>
      <c r="U106">
        <v>0.40156249999999988</v>
      </c>
    </row>
    <row r="107" spans="3:21" x14ac:dyDescent="0.4">
      <c r="C107" s="1"/>
      <c r="D107" s="1"/>
    </row>
    <row r="108" spans="3:21" x14ac:dyDescent="0.4">
      <c r="C108" s="1"/>
      <c r="D108" s="1"/>
      <c r="J108" t="s">
        <v>74</v>
      </c>
    </row>
    <row r="109" spans="3:21" x14ac:dyDescent="0.4">
      <c r="C109" s="1"/>
      <c r="D109" s="1"/>
    </row>
    <row r="110" spans="3:21" x14ac:dyDescent="0.4">
      <c r="C110" s="1"/>
      <c r="D110" s="1"/>
    </row>
    <row r="111" spans="3:21" x14ac:dyDescent="0.4">
      <c r="C111" s="1"/>
      <c r="D111" s="1"/>
      <c r="M111">
        <f t="array" ref="M111:O113">MINVERSE(M104:O106)</f>
        <v>3.6654135338345868</v>
      </c>
      <c r="N111">
        <v>-1.2781954887218043</v>
      </c>
      <c r="O111">
        <v>-1.2218045112781954</v>
      </c>
    </row>
    <row r="112" spans="3:21" x14ac:dyDescent="0.4">
      <c r="C112" s="1"/>
      <c r="D112" s="1"/>
      <c r="M112">
        <v>-1.2781954887218046</v>
      </c>
      <c r="N112">
        <v>3.7406015037593976</v>
      </c>
      <c r="O112">
        <v>-1.2406015037593978</v>
      </c>
    </row>
    <row r="113" spans="3:17" x14ac:dyDescent="0.4">
      <c r="C113" s="1"/>
      <c r="D113" s="1"/>
      <c r="M113">
        <v>-1.221804511278195</v>
      </c>
      <c r="N113">
        <v>-1.240601503759398</v>
      </c>
      <c r="O113">
        <v>3.7406015037593985</v>
      </c>
    </row>
    <row r="114" spans="3:17" x14ac:dyDescent="0.4">
      <c r="C114" s="1"/>
      <c r="D114" s="1"/>
    </row>
    <row r="115" spans="3:17" x14ac:dyDescent="0.4">
      <c r="C115" s="1"/>
      <c r="D115" s="1"/>
    </row>
    <row r="116" spans="3:17" x14ac:dyDescent="0.4">
      <c r="C116" s="1"/>
      <c r="D116" s="1"/>
      <c r="N116" s="25" t="s">
        <v>66</v>
      </c>
      <c r="O116" s="25"/>
      <c r="P116" s="25"/>
      <c r="Q116" s="25"/>
    </row>
    <row r="117" spans="3:17" x14ac:dyDescent="0.4">
      <c r="D117" s="1"/>
      <c r="N117" s="25"/>
      <c r="O117" s="25"/>
      <c r="P117" s="25"/>
      <c r="Q117" s="25"/>
    </row>
    <row r="118" spans="3:17" x14ac:dyDescent="0.4">
      <c r="C118" s="1"/>
      <c r="D118" s="1"/>
      <c r="M118">
        <f t="array" ref="M118">MMULT(TRANSPOSE(O90:O92),MMULT(M111:O113,O90:O92))/L55</f>
        <v>2680.5436315789452</v>
      </c>
      <c r="N118" s="25"/>
      <c r="O118" s="25"/>
      <c r="P118" s="25"/>
      <c r="Q118" s="25"/>
    </row>
    <row r="119" spans="3:17" ht="19.8" x14ac:dyDescent="0.65">
      <c r="C119" s="21" t="s">
        <v>64</v>
      </c>
      <c r="D119" s="1"/>
      <c r="N119" s="25"/>
      <c r="O119" s="25"/>
      <c r="P119" s="25"/>
      <c r="Q119" s="25"/>
    </row>
    <row r="120" spans="3:17" x14ac:dyDescent="0.4">
      <c r="C120" s="1"/>
      <c r="D120" s="1"/>
    </row>
    <row r="121" spans="3:17" x14ac:dyDescent="0.4">
      <c r="C121" s="1"/>
      <c r="D121" s="1"/>
    </row>
    <row r="122" spans="3:17" x14ac:dyDescent="0.4">
      <c r="C122" s="1"/>
      <c r="D122" s="1"/>
    </row>
    <row r="123" spans="3:17" x14ac:dyDescent="0.4">
      <c r="C123" s="1"/>
      <c r="D123" s="1"/>
    </row>
    <row r="124" spans="3:17" x14ac:dyDescent="0.4">
      <c r="C124" s="1"/>
      <c r="D124" s="1"/>
    </row>
    <row r="125" spans="3:17" x14ac:dyDescent="0.4">
      <c r="C125" s="1"/>
      <c r="D125" s="1"/>
    </row>
    <row r="126" spans="3:17" x14ac:dyDescent="0.4">
      <c r="C126" s="1"/>
      <c r="D126" s="1"/>
    </row>
    <row r="127" spans="3:17" x14ac:dyDescent="0.4">
      <c r="C127" s="1"/>
      <c r="D127" s="1"/>
    </row>
    <row r="128" spans="3:17" x14ac:dyDescent="0.4">
      <c r="C128" s="1"/>
      <c r="D128" s="1"/>
    </row>
    <row r="129" spans="3:4" x14ac:dyDescent="0.4">
      <c r="C129" s="1"/>
      <c r="D129" s="1"/>
    </row>
    <row r="130" spans="3:4" x14ac:dyDescent="0.4">
      <c r="C130" s="1"/>
      <c r="D130" s="1"/>
    </row>
    <row r="131" spans="3:4" x14ac:dyDescent="0.4">
      <c r="C131" s="1"/>
      <c r="D131" s="1"/>
    </row>
    <row r="132" spans="3:4" x14ac:dyDescent="0.4">
      <c r="C132" s="1"/>
      <c r="D132" s="1"/>
    </row>
    <row r="133" spans="3:4" x14ac:dyDescent="0.4">
      <c r="C133" s="1"/>
      <c r="D133" s="1"/>
    </row>
    <row r="134" spans="3:4" x14ac:dyDescent="0.4">
      <c r="C134" s="1"/>
      <c r="D134" s="1"/>
    </row>
    <row r="135" spans="3:4" x14ac:dyDescent="0.4">
      <c r="C135" s="1"/>
      <c r="D135" s="1"/>
    </row>
    <row r="136" spans="3:4" x14ac:dyDescent="0.4">
      <c r="C136" s="1"/>
      <c r="D136" s="1"/>
    </row>
    <row r="137" spans="3:4" x14ac:dyDescent="0.4">
      <c r="C137" s="1"/>
      <c r="D137" s="1"/>
    </row>
    <row r="138" spans="3:4" x14ac:dyDescent="0.4">
      <c r="C138" s="1"/>
      <c r="D138" s="1"/>
    </row>
    <row r="139" spans="3:4" x14ac:dyDescent="0.4">
      <c r="C139" s="1"/>
      <c r="D139" s="1"/>
    </row>
    <row r="140" spans="3:4" x14ac:dyDescent="0.4">
      <c r="C140" s="1"/>
      <c r="D140" s="1"/>
    </row>
    <row r="141" spans="3:4" x14ac:dyDescent="0.4">
      <c r="C141" s="1"/>
      <c r="D141" s="1"/>
    </row>
    <row r="142" spans="3:4" x14ac:dyDescent="0.4">
      <c r="C142" s="1"/>
      <c r="D142" s="1"/>
    </row>
    <row r="143" spans="3:4" x14ac:dyDescent="0.4">
      <c r="C143" s="1"/>
      <c r="D143" s="1"/>
    </row>
    <row r="144" spans="3:4" x14ac:dyDescent="0.4">
      <c r="C144" s="1"/>
      <c r="D144" s="1"/>
    </row>
    <row r="145" spans="3:4" x14ac:dyDescent="0.4">
      <c r="C145" s="1"/>
      <c r="D145" s="1"/>
    </row>
    <row r="146" spans="3:4" x14ac:dyDescent="0.4">
      <c r="C146" s="1"/>
      <c r="D146" s="1"/>
    </row>
    <row r="147" spans="3:4" x14ac:dyDescent="0.4">
      <c r="C147" s="1"/>
      <c r="D147" s="1"/>
    </row>
    <row r="148" spans="3:4" x14ac:dyDescent="0.4">
      <c r="C148" s="1"/>
      <c r="D148" s="1"/>
    </row>
    <row r="149" spans="3:4" x14ac:dyDescent="0.4">
      <c r="C149" s="1"/>
      <c r="D149" s="1"/>
    </row>
    <row r="150" spans="3:4" x14ac:dyDescent="0.4">
      <c r="C150" s="1"/>
      <c r="D150" s="1"/>
    </row>
    <row r="151" spans="3:4" x14ac:dyDescent="0.4">
      <c r="C151" s="1"/>
      <c r="D151" s="1"/>
    </row>
    <row r="152" spans="3:4" x14ac:dyDescent="0.4">
      <c r="C152" s="1"/>
      <c r="D152" s="1"/>
    </row>
    <row r="153" spans="3:4" x14ac:dyDescent="0.4">
      <c r="C153" s="1"/>
      <c r="D153" s="1"/>
    </row>
    <row r="154" spans="3:4" x14ac:dyDescent="0.4">
      <c r="C154" s="1"/>
      <c r="D154" s="1"/>
    </row>
    <row r="155" spans="3:4" x14ac:dyDescent="0.4">
      <c r="C155" s="1"/>
      <c r="D155" s="1"/>
    </row>
    <row r="156" spans="3:4" x14ac:dyDescent="0.4">
      <c r="C156" s="1"/>
      <c r="D156" s="1"/>
    </row>
    <row r="157" spans="3:4" x14ac:dyDescent="0.4">
      <c r="C157" s="1"/>
      <c r="D157" s="1"/>
    </row>
    <row r="158" spans="3:4" x14ac:dyDescent="0.4">
      <c r="C158" s="1"/>
      <c r="D158" s="1"/>
    </row>
    <row r="159" spans="3:4" x14ac:dyDescent="0.4">
      <c r="C159" s="1"/>
      <c r="D159" s="1"/>
    </row>
    <row r="160" spans="3:4" x14ac:dyDescent="0.4">
      <c r="C160" s="1"/>
      <c r="D160" s="1"/>
    </row>
    <row r="161" spans="3:4" x14ac:dyDescent="0.4">
      <c r="C161" s="1"/>
      <c r="D161" s="1"/>
    </row>
    <row r="162" spans="3:4" x14ac:dyDescent="0.4">
      <c r="C162" s="1"/>
      <c r="D162" s="1"/>
    </row>
    <row r="163" spans="3:4" x14ac:dyDescent="0.4">
      <c r="C163" s="1"/>
      <c r="D163" s="1"/>
    </row>
    <row r="164" spans="3:4" x14ac:dyDescent="0.4">
      <c r="C164" s="1"/>
      <c r="D164" s="1"/>
    </row>
    <row r="165" spans="3:4" x14ac:dyDescent="0.4">
      <c r="C165" s="1"/>
      <c r="D165" s="1"/>
    </row>
    <row r="166" spans="3:4" x14ac:dyDescent="0.4">
      <c r="C166" s="1"/>
      <c r="D166" s="1"/>
    </row>
    <row r="167" spans="3:4" x14ac:dyDescent="0.4">
      <c r="C167" s="1"/>
      <c r="D167" s="1"/>
    </row>
    <row r="168" spans="3:4" x14ac:dyDescent="0.4">
      <c r="C168" s="1"/>
      <c r="D168" s="1"/>
    </row>
    <row r="169" spans="3:4" x14ac:dyDescent="0.4">
      <c r="C169" s="1"/>
      <c r="D169" s="1"/>
    </row>
    <row r="170" spans="3:4" x14ac:dyDescent="0.4">
      <c r="C170" s="1"/>
      <c r="D170" s="1"/>
    </row>
    <row r="171" spans="3:4" x14ac:dyDescent="0.4">
      <c r="C171" s="1"/>
      <c r="D171" s="1"/>
    </row>
    <row r="172" spans="3:4" x14ac:dyDescent="0.4">
      <c r="C172" s="1"/>
      <c r="D172" s="1"/>
    </row>
    <row r="173" spans="3:4" x14ac:dyDescent="0.4">
      <c r="C173" s="1"/>
      <c r="D173" s="1"/>
    </row>
    <row r="174" spans="3:4" x14ac:dyDescent="0.4">
      <c r="C174" s="1"/>
      <c r="D174" s="1"/>
    </row>
    <row r="175" spans="3:4" x14ac:dyDescent="0.4">
      <c r="C175" s="1"/>
      <c r="D175" s="1"/>
    </row>
    <row r="176" spans="3:4" x14ac:dyDescent="0.4">
      <c r="C176" s="1"/>
      <c r="D176" s="1"/>
    </row>
    <row r="177" spans="3:4" x14ac:dyDescent="0.4">
      <c r="C177" s="1"/>
      <c r="D177" s="1"/>
    </row>
    <row r="178" spans="3:4" x14ac:dyDescent="0.4">
      <c r="C178" s="1"/>
      <c r="D178" s="1"/>
    </row>
    <row r="179" spans="3:4" x14ac:dyDescent="0.4">
      <c r="C179" s="1"/>
      <c r="D179" s="1"/>
    </row>
    <row r="180" spans="3:4" x14ac:dyDescent="0.4">
      <c r="C180" s="1"/>
      <c r="D180" s="1"/>
    </row>
    <row r="181" spans="3:4" x14ac:dyDescent="0.4">
      <c r="C181" s="1"/>
      <c r="D181" s="1"/>
    </row>
    <row r="182" spans="3:4" x14ac:dyDescent="0.4">
      <c r="C182" s="1"/>
      <c r="D182" s="1"/>
    </row>
    <row r="183" spans="3:4" x14ac:dyDescent="0.4">
      <c r="C183" s="1"/>
      <c r="D183" s="1"/>
    </row>
    <row r="184" spans="3:4" x14ac:dyDescent="0.4">
      <c r="C184" s="1"/>
      <c r="D184" s="1"/>
    </row>
    <row r="185" spans="3:4" x14ac:dyDescent="0.4">
      <c r="C185" s="1"/>
      <c r="D185" s="1"/>
    </row>
    <row r="186" spans="3:4" x14ac:dyDescent="0.4">
      <c r="C186" s="1"/>
      <c r="D186" s="1"/>
    </row>
    <row r="187" spans="3:4" x14ac:dyDescent="0.4">
      <c r="C187" s="1"/>
      <c r="D187" s="1"/>
    </row>
    <row r="188" spans="3:4" x14ac:dyDescent="0.4">
      <c r="C188" s="1"/>
      <c r="D188" s="1"/>
    </row>
    <row r="189" spans="3:4" x14ac:dyDescent="0.4">
      <c r="C189" s="1"/>
      <c r="D189" s="1"/>
    </row>
    <row r="190" spans="3:4" x14ac:dyDescent="0.4">
      <c r="C190" s="1"/>
      <c r="D190" s="1"/>
    </row>
    <row r="191" spans="3:4" x14ac:dyDescent="0.4">
      <c r="C191" s="1"/>
      <c r="D191" s="1"/>
    </row>
    <row r="192" spans="3:4" x14ac:dyDescent="0.4">
      <c r="C192" s="1"/>
      <c r="D192" s="1"/>
    </row>
    <row r="193" spans="3:4" x14ac:dyDescent="0.4">
      <c r="C193" s="1"/>
      <c r="D193" s="1"/>
    </row>
    <row r="194" spans="3:4" x14ac:dyDescent="0.4">
      <c r="C194" s="1"/>
      <c r="D194" s="1"/>
    </row>
    <row r="195" spans="3:4" x14ac:dyDescent="0.4">
      <c r="C195" s="1"/>
      <c r="D195" s="1"/>
    </row>
    <row r="196" spans="3:4" x14ac:dyDescent="0.4">
      <c r="C196" s="1"/>
      <c r="D196" s="1"/>
    </row>
    <row r="197" spans="3:4" x14ac:dyDescent="0.4">
      <c r="C197" s="1"/>
      <c r="D197" s="1"/>
    </row>
    <row r="198" spans="3:4" x14ac:dyDescent="0.4">
      <c r="C198" s="1"/>
      <c r="D198" s="1"/>
    </row>
    <row r="199" spans="3:4" x14ac:dyDescent="0.4">
      <c r="C199" s="1"/>
      <c r="D199" s="1"/>
    </row>
    <row r="200" spans="3:4" x14ac:dyDescent="0.4">
      <c r="C200" s="1"/>
      <c r="D200" s="1"/>
    </row>
    <row r="201" spans="3:4" x14ac:dyDescent="0.4">
      <c r="C201" s="1"/>
      <c r="D201" s="1"/>
    </row>
    <row r="202" spans="3:4" x14ac:dyDescent="0.4">
      <c r="C202" s="1"/>
      <c r="D202" s="1"/>
    </row>
    <row r="203" spans="3:4" x14ac:dyDescent="0.4">
      <c r="C203" s="1"/>
      <c r="D203" s="1"/>
    </row>
    <row r="204" spans="3:4" x14ac:dyDescent="0.4">
      <c r="C204" s="1"/>
      <c r="D204" s="1"/>
    </row>
    <row r="205" spans="3:4" x14ac:dyDescent="0.4">
      <c r="C205" s="1"/>
      <c r="D205" s="1"/>
    </row>
    <row r="206" spans="3:4" x14ac:dyDescent="0.4">
      <c r="C206" s="1"/>
      <c r="D206" s="1"/>
    </row>
    <row r="207" spans="3:4" x14ac:dyDescent="0.4">
      <c r="C207" s="1"/>
      <c r="D207" s="1"/>
    </row>
    <row r="208" spans="3:4" x14ac:dyDescent="0.4">
      <c r="C208" s="1"/>
      <c r="D208" s="1"/>
    </row>
    <row r="209" spans="3:4" x14ac:dyDescent="0.4">
      <c r="C209" s="1"/>
      <c r="D209" s="1"/>
    </row>
    <row r="210" spans="3:4" x14ac:dyDescent="0.4">
      <c r="C210" s="1"/>
      <c r="D210" s="1"/>
    </row>
    <row r="211" spans="3:4" x14ac:dyDescent="0.4">
      <c r="C211" s="1"/>
      <c r="D211" s="1"/>
    </row>
    <row r="212" spans="3:4" x14ac:dyDescent="0.4">
      <c r="C212" s="1"/>
      <c r="D212" s="1"/>
    </row>
    <row r="213" spans="3:4" x14ac:dyDescent="0.4">
      <c r="C213" s="1"/>
      <c r="D213" s="1"/>
    </row>
    <row r="214" spans="3:4" x14ac:dyDescent="0.4">
      <c r="C214" s="1"/>
      <c r="D214" s="1"/>
    </row>
    <row r="215" spans="3:4" x14ac:dyDescent="0.4">
      <c r="C215" s="1"/>
      <c r="D215" s="1"/>
    </row>
    <row r="216" spans="3:4" x14ac:dyDescent="0.4">
      <c r="C216" s="1"/>
      <c r="D216" s="1"/>
    </row>
    <row r="217" spans="3:4" x14ac:dyDescent="0.4">
      <c r="C217" s="1"/>
      <c r="D217" s="1"/>
    </row>
    <row r="218" spans="3:4" x14ac:dyDescent="0.4">
      <c r="C218" s="1"/>
      <c r="D218" s="1"/>
    </row>
    <row r="219" spans="3:4" x14ac:dyDescent="0.4">
      <c r="C219" s="1"/>
      <c r="D219" s="1"/>
    </row>
    <row r="220" spans="3:4" x14ac:dyDescent="0.4">
      <c r="C220" s="1"/>
      <c r="D220" s="1"/>
    </row>
    <row r="221" spans="3:4" x14ac:dyDescent="0.4">
      <c r="C221" s="1"/>
      <c r="D221" s="1"/>
    </row>
    <row r="222" spans="3:4" x14ac:dyDescent="0.4">
      <c r="C222" s="1"/>
      <c r="D222" s="1"/>
    </row>
    <row r="223" spans="3:4" x14ac:dyDescent="0.4">
      <c r="C223" s="1"/>
      <c r="D223" s="1"/>
    </row>
    <row r="224" spans="3:4" x14ac:dyDescent="0.4">
      <c r="C224" s="1"/>
      <c r="D224" s="1"/>
    </row>
    <row r="225" spans="3:4" x14ac:dyDescent="0.4">
      <c r="C225" s="1"/>
      <c r="D225" s="1"/>
    </row>
    <row r="226" spans="3:4" x14ac:dyDescent="0.4">
      <c r="C226" s="1"/>
      <c r="D226" s="1"/>
    </row>
    <row r="227" spans="3:4" x14ac:dyDescent="0.4">
      <c r="C227" s="1"/>
      <c r="D227" s="1"/>
    </row>
    <row r="228" spans="3:4" x14ac:dyDescent="0.4">
      <c r="C228" s="1"/>
      <c r="D228" s="1"/>
    </row>
    <row r="229" spans="3:4" x14ac:dyDescent="0.4">
      <c r="C229" s="1"/>
      <c r="D229" s="1"/>
    </row>
    <row r="230" spans="3:4" x14ac:dyDescent="0.4">
      <c r="C230" s="1"/>
      <c r="D230" s="1"/>
    </row>
    <row r="231" spans="3:4" x14ac:dyDescent="0.4">
      <c r="C231" s="1"/>
      <c r="D231" s="1"/>
    </row>
    <row r="232" spans="3:4" x14ac:dyDescent="0.4">
      <c r="C232" s="1"/>
      <c r="D232" s="1"/>
    </row>
    <row r="233" spans="3:4" x14ac:dyDescent="0.4">
      <c r="C233" s="1"/>
      <c r="D233" s="1"/>
    </row>
    <row r="234" spans="3:4" x14ac:dyDescent="0.4">
      <c r="C234" s="1"/>
      <c r="D234" s="1"/>
    </row>
    <row r="235" spans="3:4" x14ac:dyDescent="0.4">
      <c r="C235" s="1"/>
      <c r="D235" s="1"/>
    </row>
    <row r="236" spans="3:4" x14ac:dyDescent="0.4">
      <c r="C236" s="1"/>
      <c r="D236" s="1"/>
    </row>
    <row r="237" spans="3:4" x14ac:dyDescent="0.4">
      <c r="C237" s="1"/>
      <c r="D237" s="1"/>
    </row>
    <row r="238" spans="3:4" x14ac:dyDescent="0.4">
      <c r="C238" s="1"/>
      <c r="D238" s="1"/>
    </row>
    <row r="239" spans="3:4" x14ac:dyDescent="0.4">
      <c r="C239" s="1"/>
      <c r="D239" s="1"/>
    </row>
    <row r="240" spans="3:4" x14ac:dyDescent="0.4">
      <c r="C240" s="1"/>
      <c r="D240" s="1"/>
    </row>
    <row r="241" spans="3:4" x14ac:dyDescent="0.4">
      <c r="C241" s="1"/>
      <c r="D241" s="1"/>
    </row>
    <row r="242" spans="3:4" x14ac:dyDescent="0.4">
      <c r="C242" s="1"/>
      <c r="D242" s="1"/>
    </row>
    <row r="243" spans="3:4" x14ac:dyDescent="0.4">
      <c r="C243" s="1"/>
      <c r="D243" s="1"/>
    </row>
    <row r="244" spans="3:4" x14ac:dyDescent="0.4">
      <c r="C244" s="1"/>
      <c r="D244" s="1"/>
    </row>
    <row r="245" spans="3:4" x14ac:dyDescent="0.4">
      <c r="C245" s="1"/>
      <c r="D245" s="1"/>
    </row>
    <row r="246" spans="3:4" x14ac:dyDescent="0.4">
      <c r="C246" s="1"/>
      <c r="D246" s="1"/>
    </row>
    <row r="247" spans="3:4" x14ac:dyDescent="0.4">
      <c r="C247" s="1"/>
      <c r="D247" s="1"/>
    </row>
    <row r="248" spans="3:4" x14ac:dyDescent="0.4">
      <c r="C248" s="1"/>
      <c r="D248" s="1"/>
    </row>
    <row r="249" spans="3:4" x14ac:dyDescent="0.4">
      <c r="C249" s="1"/>
      <c r="D249" s="1"/>
    </row>
    <row r="250" spans="3:4" x14ac:dyDescent="0.4">
      <c r="C250" s="1"/>
      <c r="D250" s="1"/>
    </row>
    <row r="251" spans="3:4" x14ac:dyDescent="0.4">
      <c r="C251" s="1"/>
      <c r="D251" s="1"/>
    </row>
    <row r="252" spans="3:4" x14ac:dyDescent="0.4">
      <c r="C252" s="1"/>
      <c r="D252" s="1"/>
    </row>
    <row r="253" spans="3:4" x14ac:dyDescent="0.4">
      <c r="C253" s="1"/>
      <c r="D253" s="1"/>
    </row>
    <row r="254" spans="3:4" x14ac:dyDescent="0.4">
      <c r="C254" s="1"/>
      <c r="D254" s="1"/>
    </row>
    <row r="255" spans="3:4" x14ac:dyDescent="0.4">
      <c r="C255" s="1"/>
      <c r="D255" s="1"/>
    </row>
    <row r="256" spans="3:4" x14ac:dyDescent="0.4">
      <c r="C256" s="1"/>
      <c r="D256" s="1"/>
    </row>
    <row r="257" spans="3:4" x14ac:dyDescent="0.4">
      <c r="C257" s="1"/>
      <c r="D257" s="1"/>
    </row>
    <row r="258" spans="3:4" x14ac:dyDescent="0.4">
      <c r="C258" s="1"/>
      <c r="D258" s="1"/>
    </row>
    <row r="259" spans="3:4" x14ac:dyDescent="0.4">
      <c r="C259" s="1"/>
      <c r="D259" s="1"/>
    </row>
    <row r="260" spans="3:4" x14ac:dyDescent="0.4">
      <c r="C260" s="1"/>
      <c r="D260" s="1"/>
    </row>
    <row r="261" spans="3:4" x14ac:dyDescent="0.4">
      <c r="C261" s="1"/>
      <c r="D261" s="1"/>
    </row>
    <row r="262" spans="3:4" x14ac:dyDescent="0.4">
      <c r="C262" s="1"/>
      <c r="D262" s="1"/>
    </row>
    <row r="263" spans="3:4" x14ac:dyDescent="0.4">
      <c r="C263" s="1"/>
      <c r="D263" s="1"/>
    </row>
    <row r="264" spans="3:4" x14ac:dyDescent="0.4">
      <c r="C264" s="1"/>
      <c r="D264" s="1"/>
    </row>
    <row r="265" spans="3:4" x14ac:dyDescent="0.4">
      <c r="C265" s="1"/>
      <c r="D265" s="1"/>
    </row>
    <row r="266" spans="3:4" x14ac:dyDescent="0.4">
      <c r="C266" s="1"/>
      <c r="D266" s="1"/>
    </row>
    <row r="267" spans="3:4" x14ac:dyDescent="0.4">
      <c r="C267" s="1"/>
      <c r="D267" s="1"/>
    </row>
    <row r="268" spans="3:4" x14ac:dyDescent="0.4">
      <c r="C268" s="1"/>
      <c r="D268" s="1"/>
    </row>
    <row r="269" spans="3:4" x14ac:dyDescent="0.4">
      <c r="C269" s="1"/>
      <c r="D269" s="1"/>
    </row>
    <row r="270" spans="3:4" x14ac:dyDescent="0.4">
      <c r="C270" s="1"/>
      <c r="D270" s="1"/>
    </row>
    <row r="271" spans="3:4" x14ac:dyDescent="0.4">
      <c r="C271" s="1"/>
      <c r="D271" s="1"/>
    </row>
    <row r="272" spans="3:4" x14ac:dyDescent="0.4">
      <c r="C272" s="1"/>
      <c r="D272" s="1"/>
    </row>
    <row r="273" spans="3:4" x14ac:dyDescent="0.4">
      <c r="C273" s="1"/>
      <c r="D273" s="1"/>
    </row>
    <row r="274" spans="3:4" x14ac:dyDescent="0.4">
      <c r="C274" s="1"/>
      <c r="D274" s="1"/>
    </row>
    <row r="275" spans="3:4" x14ac:dyDescent="0.4">
      <c r="C275" s="1"/>
      <c r="D275" s="1"/>
    </row>
    <row r="276" spans="3:4" x14ac:dyDescent="0.4">
      <c r="C276" s="1"/>
      <c r="D276" s="1"/>
    </row>
    <row r="277" spans="3:4" x14ac:dyDescent="0.4">
      <c r="C277" s="1"/>
      <c r="D277" s="1"/>
    </row>
    <row r="278" spans="3:4" x14ac:dyDescent="0.4">
      <c r="C278" s="1"/>
      <c r="D278" s="1"/>
    </row>
    <row r="279" spans="3:4" x14ac:dyDescent="0.4">
      <c r="C279" s="1"/>
      <c r="D279" s="1"/>
    </row>
    <row r="280" spans="3:4" x14ac:dyDescent="0.4">
      <c r="C280" s="1"/>
      <c r="D280" s="1"/>
    </row>
    <row r="281" spans="3:4" x14ac:dyDescent="0.4">
      <c r="C281" s="1"/>
      <c r="D281" s="1"/>
    </row>
    <row r="282" spans="3:4" x14ac:dyDescent="0.4">
      <c r="C282" s="1"/>
      <c r="D282" s="1"/>
    </row>
    <row r="283" spans="3:4" x14ac:dyDescent="0.4">
      <c r="C283" s="1"/>
      <c r="D283" s="1"/>
    </row>
    <row r="284" spans="3:4" x14ac:dyDescent="0.4">
      <c r="C284" s="1"/>
      <c r="D284" s="1"/>
    </row>
    <row r="285" spans="3:4" x14ac:dyDescent="0.4">
      <c r="C285" s="1"/>
      <c r="D285" s="1"/>
    </row>
    <row r="286" spans="3:4" x14ac:dyDescent="0.4">
      <c r="C286" s="1"/>
      <c r="D286" s="1"/>
    </row>
    <row r="287" spans="3:4" x14ac:dyDescent="0.4">
      <c r="C287" s="1"/>
      <c r="D287" s="1"/>
    </row>
    <row r="288" spans="3:4" x14ac:dyDescent="0.4">
      <c r="C288" s="1"/>
      <c r="D288" s="1"/>
    </row>
    <row r="289" spans="3:4" x14ac:dyDescent="0.4">
      <c r="C289" s="1"/>
      <c r="D289" s="1"/>
    </row>
    <row r="290" spans="3:4" x14ac:dyDescent="0.4">
      <c r="C290" s="1"/>
      <c r="D290" s="1"/>
    </row>
    <row r="291" spans="3:4" x14ac:dyDescent="0.4">
      <c r="C291" s="1"/>
      <c r="D291" s="1"/>
    </row>
    <row r="292" spans="3:4" x14ac:dyDescent="0.4">
      <c r="C292" s="1"/>
      <c r="D292" s="1"/>
    </row>
    <row r="293" spans="3:4" x14ac:dyDescent="0.4">
      <c r="C293" s="1"/>
      <c r="D293" s="1"/>
    </row>
    <row r="294" spans="3:4" x14ac:dyDescent="0.4">
      <c r="C294" s="1"/>
      <c r="D294" s="1"/>
    </row>
    <row r="295" spans="3:4" x14ac:dyDescent="0.4">
      <c r="C295" s="1"/>
      <c r="D295" s="1"/>
    </row>
    <row r="296" spans="3:4" x14ac:dyDescent="0.4">
      <c r="C296" s="1"/>
      <c r="D296" s="1"/>
    </row>
    <row r="297" spans="3:4" x14ac:dyDescent="0.4">
      <c r="C297" s="1"/>
      <c r="D297" s="1"/>
    </row>
    <row r="298" spans="3:4" x14ac:dyDescent="0.4">
      <c r="C298" s="1"/>
      <c r="D298" s="1"/>
    </row>
    <row r="299" spans="3:4" x14ac:dyDescent="0.4">
      <c r="C299" s="1"/>
      <c r="D299" s="1"/>
    </row>
    <row r="300" spans="3:4" x14ac:dyDescent="0.4">
      <c r="C300" s="1"/>
      <c r="D300" s="1"/>
    </row>
    <row r="301" spans="3:4" x14ac:dyDescent="0.4">
      <c r="C301" s="1"/>
      <c r="D301" s="1"/>
    </row>
    <row r="302" spans="3:4" x14ac:dyDescent="0.4">
      <c r="C302" s="1"/>
      <c r="D302" s="1"/>
    </row>
    <row r="303" spans="3:4" x14ac:dyDescent="0.4">
      <c r="C303" s="1"/>
      <c r="D303" s="1"/>
    </row>
    <row r="304" spans="3:4" x14ac:dyDescent="0.4">
      <c r="C304" s="1"/>
      <c r="D304" s="1"/>
    </row>
    <row r="305" spans="3:4" x14ac:dyDescent="0.4">
      <c r="C305" s="1"/>
      <c r="D305" s="1"/>
    </row>
  </sheetData>
  <mergeCells count="3">
    <mergeCell ref="C31:F32"/>
    <mergeCell ref="L71:O75"/>
    <mergeCell ref="N116:Q119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078" r:id="rId4">
          <objectPr defaultSize="0" autoPict="0" r:id="rId5">
            <anchor moveWithCells="1" sizeWithCells="1">
              <from>
                <xdr:col>10</xdr:col>
                <xdr:colOff>57150</xdr:colOff>
                <xdr:row>88</xdr:row>
                <xdr:rowOff>7620</xdr:rowOff>
              </from>
              <to>
                <xdr:col>12</xdr:col>
                <xdr:colOff>11430</xdr:colOff>
                <xdr:row>93</xdr:row>
                <xdr:rowOff>45720</xdr:rowOff>
              </to>
            </anchor>
          </objectPr>
        </oleObject>
      </mc:Choice>
      <mc:Fallback>
        <oleObject progId="Equation.3" shapeId="3078" r:id="rId4"/>
      </mc:Fallback>
    </mc:AlternateContent>
    <mc:AlternateContent xmlns:mc="http://schemas.openxmlformats.org/markup-compatibility/2006">
      <mc:Choice Requires="x14">
        <oleObject progId="Equation.3" shapeId="3079" r:id="rId6">
          <objectPr defaultSize="0" autoPict="0" r:id="rId7">
            <anchor moveWithCells="1" sizeWithCells="1">
              <from>
                <xdr:col>11</xdr:col>
                <xdr:colOff>30480</xdr:colOff>
                <xdr:row>83</xdr:row>
                <xdr:rowOff>19050</xdr:rowOff>
              </from>
              <to>
                <xdr:col>11</xdr:col>
                <xdr:colOff>849630</xdr:colOff>
                <xdr:row>86</xdr:row>
                <xdr:rowOff>7620</xdr:rowOff>
              </to>
            </anchor>
          </objectPr>
        </oleObject>
      </mc:Choice>
      <mc:Fallback>
        <oleObject progId="Equation.3" shapeId="3079" r:id="rId6"/>
      </mc:Fallback>
    </mc:AlternateContent>
    <mc:AlternateContent xmlns:mc="http://schemas.openxmlformats.org/markup-compatibility/2006">
      <mc:Choice Requires="x14">
        <oleObject progId="Equation.3" shapeId="3080" r:id="rId8">
          <objectPr defaultSize="0" autoPict="0" r:id="rId9">
            <anchor moveWithCells="1" sizeWithCells="1">
              <from>
                <xdr:col>10</xdr:col>
                <xdr:colOff>601980</xdr:colOff>
                <xdr:row>78</xdr:row>
                <xdr:rowOff>7620</xdr:rowOff>
              </from>
              <to>
                <xdr:col>11</xdr:col>
                <xdr:colOff>830580</xdr:colOff>
                <xdr:row>81</xdr:row>
                <xdr:rowOff>19050</xdr:rowOff>
              </to>
            </anchor>
          </objectPr>
        </oleObject>
      </mc:Choice>
      <mc:Fallback>
        <oleObject progId="Equation.3" shapeId="3080" r:id="rId8"/>
      </mc:Fallback>
    </mc:AlternateContent>
    <mc:AlternateContent xmlns:mc="http://schemas.openxmlformats.org/markup-compatibility/2006">
      <mc:Choice Requires="x14">
        <oleObject progId="Equation.3" shapeId="3081" r:id="rId10">
          <objectPr defaultSize="0" autoPict="0" r:id="rId11">
            <anchor moveWithCells="1" sizeWithCells="1">
              <from>
                <xdr:col>9</xdr:col>
                <xdr:colOff>842010</xdr:colOff>
                <xdr:row>95</xdr:row>
                <xdr:rowOff>64770</xdr:rowOff>
              </from>
              <to>
                <xdr:col>11</xdr:col>
                <xdr:colOff>685800</xdr:colOff>
                <xdr:row>99</xdr:row>
                <xdr:rowOff>137160</xdr:rowOff>
              </to>
            </anchor>
          </objectPr>
        </oleObject>
      </mc:Choice>
      <mc:Fallback>
        <oleObject progId="Equation.3" shapeId="3081" r:id="rId10"/>
      </mc:Fallback>
    </mc:AlternateContent>
    <mc:AlternateContent xmlns:mc="http://schemas.openxmlformats.org/markup-compatibility/2006">
      <mc:Choice Requires="x14">
        <oleObject progId="Equation.3" shapeId="3082" r:id="rId12">
          <objectPr defaultSize="0" autoPict="0" r:id="rId13">
            <anchor moveWithCells="1" sizeWithCells="1">
              <from>
                <xdr:col>9</xdr:col>
                <xdr:colOff>156210</xdr:colOff>
                <xdr:row>102</xdr:row>
                <xdr:rowOff>72390</xdr:rowOff>
              </from>
              <to>
                <xdr:col>11</xdr:col>
                <xdr:colOff>461010</xdr:colOff>
                <xdr:row>106</xdr:row>
                <xdr:rowOff>137160</xdr:rowOff>
              </to>
            </anchor>
          </objectPr>
        </oleObject>
      </mc:Choice>
      <mc:Fallback>
        <oleObject progId="Equation.3" shapeId="3082" r:id="rId12"/>
      </mc:Fallback>
    </mc:AlternateContent>
    <mc:AlternateContent xmlns:mc="http://schemas.openxmlformats.org/markup-compatibility/2006">
      <mc:Choice Requires="x14">
        <oleObject progId="Equation.3" shapeId="3083" r:id="rId14">
          <objectPr defaultSize="0" autoPict="0" r:id="rId15">
            <anchor moveWithCells="1" sizeWithCells="1">
              <from>
                <xdr:col>8</xdr:col>
                <xdr:colOff>11430</xdr:colOff>
                <xdr:row>109</xdr:row>
                <xdr:rowOff>45720</xdr:rowOff>
              </from>
              <to>
                <xdr:col>11</xdr:col>
                <xdr:colOff>567690</xdr:colOff>
                <xdr:row>113</xdr:row>
                <xdr:rowOff>102870</xdr:rowOff>
              </to>
            </anchor>
          </objectPr>
        </oleObject>
      </mc:Choice>
      <mc:Fallback>
        <oleObject progId="Equation.3" shapeId="3083" r:id="rId14"/>
      </mc:Fallback>
    </mc:AlternateContent>
    <mc:AlternateContent xmlns:mc="http://schemas.openxmlformats.org/markup-compatibility/2006">
      <mc:Choice Requires="x14">
        <oleObject progId="Equation.3" shapeId="3084" r:id="rId16">
          <objectPr defaultSize="0" autoPict="0" r:id="rId17">
            <anchor moveWithCells="1" sizeWithCells="1">
              <from>
                <xdr:col>5</xdr:col>
                <xdr:colOff>106680</xdr:colOff>
                <xdr:row>114</xdr:row>
                <xdr:rowOff>137160</xdr:rowOff>
              </from>
              <to>
                <xdr:col>11</xdr:col>
                <xdr:colOff>685800</xdr:colOff>
                <xdr:row>120</xdr:row>
                <xdr:rowOff>72390</xdr:rowOff>
              </to>
            </anchor>
          </objectPr>
        </oleObject>
      </mc:Choice>
      <mc:Fallback>
        <oleObject progId="Equation.3" shapeId="3084" r:id="rId1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CE19-4F48-4F6F-8C0E-74043D3F45CC}">
  <dimension ref="B1:O277"/>
  <sheetViews>
    <sheetView tabSelected="1" workbookViewId="0">
      <selection activeCell="D7" sqref="D7"/>
    </sheetView>
  </sheetViews>
  <sheetFormatPr defaultRowHeight="12.3" x14ac:dyDescent="0.4"/>
  <cols>
    <col min="2" max="2" width="11.27734375" customWidth="1"/>
    <col min="3" max="3" width="12.71875" customWidth="1"/>
    <col min="5" max="5" width="12.44140625" bestFit="1" customWidth="1"/>
    <col min="6" max="6" width="15.0546875" customWidth="1"/>
    <col min="10" max="10" width="18.27734375" customWidth="1"/>
    <col min="11" max="11" width="16.71875" customWidth="1"/>
    <col min="12" max="12" width="21.1640625" customWidth="1"/>
    <col min="13" max="13" width="18.44140625" customWidth="1"/>
    <col min="14" max="14" width="15.44140625" customWidth="1"/>
    <col min="15" max="15" width="10.71875" customWidth="1"/>
  </cols>
  <sheetData>
    <row r="1" spans="2:15" ht="12.75" customHeight="1" x14ac:dyDescent="0.4"/>
    <row r="2" spans="2:15" ht="12.75" customHeight="1" x14ac:dyDescent="0.4">
      <c r="C2" t="s">
        <v>12</v>
      </c>
    </row>
    <row r="4" spans="2:15" ht="24.75" customHeight="1" x14ac:dyDescent="0.6">
      <c r="D4" s="7" t="s">
        <v>80</v>
      </c>
    </row>
    <row r="5" spans="2:15" ht="103.5" customHeight="1" x14ac:dyDescent="0.5">
      <c r="B5" s="6" t="s">
        <v>6</v>
      </c>
      <c r="C5" s="6" t="s">
        <v>0</v>
      </c>
      <c r="D5" s="6" t="s">
        <v>4</v>
      </c>
      <c r="E5" s="6" t="s">
        <v>107</v>
      </c>
      <c r="F5" s="6" t="s">
        <v>108</v>
      </c>
      <c r="G5" s="6" t="s">
        <v>109</v>
      </c>
      <c r="H5" s="6" t="s">
        <v>110</v>
      </c>
      <c r="I5" s="6" t="s">
        <v>11</v>
      </c>
      <c r="J5" s="6" t="s">
        <v>78</v>
      </c>
      <c r="K5" s="6" t="s">
        <v>13</v>
      </c>
      <c r="L5" s="6" t="s">
        <v>79</v>
      </c>
      <c r="M5" s="6" t="s">
        <v>76</v>
      </c>
      <c r="N5" s="6" t="s">
        <v>15</v>
      </c>
      <c r="O5" s="6" t="s">
        <v>81</v>
      </c>
    </row>
    <row r="6" spans="2:15" ht="12.75" customHeight="1" x14ac:dyDescent="0.4">
      <c r="B6" t="s">
        <v>83</v>
      </c>
      <c r="C6" s="2">
        <v>254</v>
      </c>
      <c r="D6" s="3">
        <v>1</v>
      </c>
      <c r="E6">
        <v>1</v>
      </c>
      <c r="F6">
        <v>0</v>
      </c>
      <c r="G6">
        <v>0</v>
      </c>
      <c r="H6">
        <v>0</v>
      </c>
      <c r="I6" s="3">
        <f t="shared" ref="I6:I25" si="0">MMULT(D6:H6,K$33:K$37)</f>
        <v>259.50999999999982</v>
      </c>
      <c r="J6">
        <f>K$38+K$33*D6</f>
        <v>291.47062499999993</v>
      </c>
      <c r="K6">
        <f t="shared" ref="K6:K25" si="1">C6-D6*K$33-K$38</f>
        <v>-37.470624999999956</v>
      </c>
      <c r="L6">
        <f>MMULT(E6:H6,L$34:L$37)</f>
        <v>-31.960625000000107</v>
      </c>
      <c r="M6" s="8">
        <f t="shared" ref="M6:M25" si="2">C6-MMULT(E6:H6,L$34:L$37)</f>
        <v>285.96062500000011</v>
      </c>
      <c r="N6" s="2">
        <f t="shared" ref="N6:N25" si="3">C6-I6</f>
        <v>-5.5099999999998204</v>
      </c>
      <c r="O6" s="2">
        <f>C6-J6-L6</f>
        <v>-5.5099999999998204</v>
      </c>
    </row>
    <row r="7" spans="2:15" x14ac:dyDescent="0.4">
      <c r="B7" t="s">
        <v>84</v>
      </c>
      <c r="C7" s="2">
        <v>292.39999999999998</v>
      </c>
      <c r="D7" s="3">
        <v>2</v>
      </c>
      <c r="E7">
        <v>0</v>
      </c>
      <c r="F7">
        <v>1</v>
      </c>
      <c r="G7">
        <v>0</v>
      </c>
      <c r="H7">
        <v>0</v>
      </c>
      <c r="I7" s="3">
        <f t="shared" si="0"/>
        <v>301.83000000000004</v>
      </c>
      <c r="J7">
        <f t="shared" ref="J7:J25" si="4">K$38+K$33*D7</f>
        <v>296.57687499999997</v>
      </c>
      <c r="K7">
        <f t="shared" si="1"/>
        <v>-4.1768749999999955</v>
      </c>
      <c r="L7">
        <f t="shared" ref="L7:L25" si="5">MMULT(E7:H7,L$34:L$37)</f>
        <v>5.2531250000000682</v>
      </c>
      <c r="M7" s="8">
        <f t="shared" si="2"/>
        <v>287.14687499999991</v>
      </c>
      <c r="N7" s="2">
        <f t="shared" si="3"/>
        <v>-9.4300000000000637</v>
      </c>
      <c r="O7" s="2">
        <f t="shared" ref="O7:O25" si="6">C7-J7-L7</f>
        <v>-9.4300000000000637</v>
      </c>
    </row>
    <row r="8" spans="2:15" x14ac:dyDescent="0.4">
      <c r="B8" t="s">
        <v>85</v>
      </c>
      <c r="C8" s="2">
        <v>297.8</v>
      </c>
      <c r="D8" s="3">
        <v>3</v>
      </c>
      <c r="E8">
        <v>0</v>
      </c>
      <c r="F8">
        <v>0</v>
      </c>
      <c r="G8">
        <v>1</v>
      </c>
      <c r="H8">
        <v>0</v>
      </c>
      <c r="I8" s="3">
        <f t="shared" si="0"/>
        <v>303.75000000000011</v>
      </c>
      <c r="J8">
        <f t="shared" si="4"/>
        <v>301.68312499999996</v>
      </c>
      <c r="K8">
        <f t="shared" si="1"/>
        <v>-3.88312499999995</v>
      </c>
      <c r="L8">
        <f t="shared" si="5"/>
        <v>2.0668750000001523</v>
      </c>
      <c r="M8" s="8">
        <f t="shared" si="2"/>
        <v>295.73312499999986</v>
      </c>
      <c r="N8" s="2">
        <f t="shared" si="3"/>
        <v>-5.9500000000001023</v>
      </c>
      <c r="O8" s="2">
        <f t="shared" si="6"/>
        <v>-5.9500000000001023</v>
      </c>
    </row>
    <row r="9" spans="2:15" x14ac:dyDescent="0.4">
      <c r="B9" t="s">
        <v>86</v>
      </c>
      <c r="C9" s="2">
        <v>330.3</v>
      </c>
      <c r="D9" s="3">
        <v>4</v>
      </c>
      <c r="E9">
        <v>0</v>
      </c>
      <c r="F9">
        <v>0</v>
      </c>
      <c r="G9">
        <v>0</v>
      </c>
      <c r="H9">
        <v>1</v>
      </c>
      <c r="I9" s="3">
        <f t="shared" si="0"/>
        <v>331.42999999999989</v>
      </c>
      <c r="J9">
        <f t="shared" si="4"/>
        <v>306.78937499999995</v>
      </c>
      <c r="K9">
        <f t="shared" si="1"/>
        <v>23.510625000000061</v>
      </c>
      <c r="L9">
        <f t="shared" si="5"/>
        <v>24.640624999999943</v>
      </c>
      <c r="M9" s="8">
        <f t="shared" si="2"/>
        <v>305.65937500000007</v>
      </c>
      <c r="N9" s="2">
        <f t="shared" si="3"/>
        <v>-1.1299999999998818</v>
      </c>
      <c r="O9" s="2">
        <f t="shared" si="6"/>
        <v>-1.1299999999998818</v>
      </c>
    </row>
    <row r="10" spans="2:15" x14ac:dyDescent="0.4">
      <c r="B10" t="s">
        <v>87</v>
      </c>
      <c r="C10" s="2">
        <v>291.10000000000002</v>
      </c>
      <c r="D10" s="3">
        <v>5</v>
      </c>
      <c r="E10">
        <v>1</v>
      </c>
      <c r="F10">
        <v>0</v>
      </c>
      <c r="G10">
        <v>0</v>
      </c>
      <c r="H10">
        <v>0</v>
      </c>
      <c r="I10" s="3">
        <f t="shared" si="0"/>
        <v>279.93499999999983</v>
      </c>
      <c r="J10">
        <f t="shared" si="4"/>
        <v>311.89562499999994</v>
      </c>
      <c r="K10">
        <f t="shared" si="1"/>
        <v>-20.795624999999916</v>
      </c>
      <c r="L10">
        <f t="shared" si="5"/>
        <v>-31.960625000000107</v>
      </c>
      <c r="M10" s="8">
        <f t="shared" si="2"/>
        <v>323.06062500000013</v>
      </c>
      <c r="N10" s="2">
        <f t="shared" si="3"/>
        <v>11.165000000000191</v>
      </c>
      <c r="O10" s="2">
        <f t="shared" si="6"/>
        <v>11.165000000000191</v>
      </c>
    </row>
    <row r="11" spans="2:15" x14ac:dyDescent="0.4">
      <c r="B11" t="s">
        <v>88</v>
      </c>
      <c r="C11" s="2">
        <v>327.60000000000002</v>
      </c>
      <c r="D11" s="3">
        <v>6</v>
      </c>
      <c r="E11">
        <v>0</v>
      </c>
      <c r="F11">
        <v>1</v>
      </c>
      <c r="G11">
        <v>0</v>
      </c>
      <c r="H11">
        <v>0</v>
      </c>
      <c r="I11" s="3">
        <f t="shared" si="0"/>
        <v>322.25500000000005</v>
      </c>
      <c r="J11">
        <f t="shared" si="4"/>
        <v>317.00187499999998</v>
      </c>
      <c r="K11">
        <f t="shared" si="1"/>
        <v>10.598125000000039</v>
      </c>
      <c r="L11">
        <f t="shared" si="5"/>
        <v>5.2531250000000682</v>
      </c>
      <c r="M11" s="8">
        <f t="shared" si="2"/>
        <v>322.34687499999995</v>
      </c>
      <c r="N11" s="2">
        <f t="shared" si="3"/>
        <v>5.3449999999999704</v>
      </c>
      <c r="O11" s="2">
        <f t="shared" si="6"/>
        <v>5.3449999999999704</v>
      </c>
    </row>
    <row r="12" spans="2:15" x14ac:dyDescent="0.4">
      <c r="B12" t="s">
        <v>89</v>
      </c>
      <c r="C12" s="2">
        <v>321.2</v>
      </c>
      <c r="D12" s="3">
        <v>7</v>
      </c>
      <c r="E12">
        <v>0</v>
      </c>
      <c r="F12">
        <v>0</v>
      </c>
      <c r="G12">
        <v>1</v>
      </c>
      <c r="H12">
        <v>0</v>
      </c>
      <c r="I12" s="3">
        <f t="shared" si="0"/>
        <v>324.17500000000013</v>
      </c>
      <c r="J12">
        <f t="shared" si="4"/>
        <v>322.10812499999997</v>
      </c>
      <c r="K12">
        <f t="shared" si="1"/>
        <v>-0.90812499999998408</v>
      </c>
      <c r="L12">
        <f t="shared" si="5"/>
        <v>2.0668750000001523</v>
      </c>
      <c r="M12" s="8">
        <f t="shared" si="2"/>
        <v>319.13312499999984</v>
      </c>
      <c r="N12" s="2">
        <f t="shared" si="3"/>
        <v>-2.9750000000001364</v>
      </c>
      <c r="O12" s="2">
        <f t="shared" si="6"/>
        <v>-2.9750000000001364</v>
      </c>
    </row>
    <row r="13" spans="2:15" x14ac:dyDescent="0.4">
      <c r="B13" t="s">
        <v>90</v>
      </c>
      <c r="C13" s="2">
        <v>354.3</v>
      </c>
      <c r="D13" s="3">
        <v>8</v>
      </c>
      <c r="E13">
        <v>0</v>
      </c>
      <c r="F13">
        <v>0</v>
      </c>
      <c r="G13">
        <v>0</v>
      </c>
      <c r="H13">
        <v>1</v>
      </c>
      <c r="I13" s="3">
        <f t="shared" si="0"/>
        <v>351.8549999999999</v>
      </c>
      <c r="J13">
        <f t="shared" si="4"/>
        <v>327.21437499999996</v>
      </c>
      <c r="K13">
        <f t="shared" si="1"/>
        <v>27.08562500000005</v>
      </c>
      <c r="L13">
        <f t="shared" si="5"/>
        <v>24.640624999999943</v>
      </c>
      <c r="M13" s="8">
        <f t="shared" si="2"/>
        <v>329.65937500000007</v>
      </c>
      <c r="N13" s="2">
        <f t="shared" si="3"/>
        <v>2.4450000000001069</v>
      </c>
      <c r="O13" s="2">
        <f t="shared" si="6"/>
        <v>2.4450000000001069</v>
      </c>
    </row>
    <row r="14" spans="2:15" x14ac:dyDescent="0.4">
      <c r="B14" t="s">
        <v>91</v>
      </c>
      <c r="C14" s="2">
        <v>304.60000000000002</v>
      </c>
      <c r="D14" s="3">
        <v>9</v>
      </c>
      <c r="E14">
        <v>1</v>
      </c>
      <c r="F14">
        <v>0</v>
      </c>
      <c r="G14">
        <v>0</v>
      </c>
      <c r="H14">
        <v>0</v>
      </c>
      <c r="I14" s="3">
        <f t="shared" si="0"/>
        <v>300.35999999999984</v>
      </c>
      <c r="J14">
        <f t="shared" si="4"/>
        <v>332.32062499999995</v>
      </c>
      <c r="K14">
        <f t="shared" si="1"/>
        <v>-27.720624999999927</v>
      </c>
      <c r="L14">
        <f t="shared" si="5"/>
        <v>-31.960625000000107</v>
      </c>
      <c r="M14" s="8">
        <f t="shared" si="2"/>
        <v>336.56062500000013</v>
      </c>
      <c r="N14" s="2">
        <f t="shared" si="3"/>
        <v>4.2400000000001796</v>
      </c>
      <c r="O14" s="2">
        <f t="shared" si="6"/>
        <v>4.2400000000001796</v>
      </c>
    </row>
    <row r="15" spans="2:15" x14ac:dyDescent="0.4">
      <c r="B15" t="s">
        <v>92</v>
      </c>
      <c r="C15" s="2">
        <v>348.4</v>
      </c>
      <c r="D15" s="3">
        <v>10</v>
      </c>
      <c r="E15">
        <v>0</v>
      </c>
      <c r="F15">
        <v>1</v>
      </c>
      <c r="G15">
        <v>0</v>
      </c>
      <c r="H15">
        <v>0</v>
      </c>
      <c r="I15" s="3">
        <f t="shared" si="0"/>
        <v>342.68000000000006</v>
      </c>
      <c r="J15">
        <f t="shared" si="4"/>
        <v>337.426875</v>
      </c>
      <c r="K15">
        <f t="shared" si="1"/>
        <v>10.973124999999982</v>
      </c>
      <c r="L15">
        <f t="shared" si="5"/>
        <v>5.2531250000000682</v>
      </c>
      <c r="M15" s="8">
        <f t="shared" si="2"/>
        <v>343.14687499999991</v>
      </c>
      <c r="N15" s="2">
        <f t="shared" si="3"/>
        <v>5.7199999999999136</v>
      </c>
      <c r="O15" s="2">
        <f t="shared" si="6"/>
        <v>5.7199999999999136</v>
      </c>
    </row>
    <row r="16" spans="2:15" x14ac:dyDescent="0.4">
      <c r="B16" t="s">
        <v>93</v>
      </c>
      <c r="C16" s="2">
        <v>350.8</v>
      </c>
      <c r="D16" s="3">
        <v>11</v>
      </c>
      <c r="E16">
        <v>0</v>
      </c>
      <c r="F16">
        <v>0</v>
      </c>
      <c r="G16">
        <v>1</v>
      </c>
      <c r="H16">
        <v>0</v>
      </c>
      <c r="I16" s="3">
        <f t="shared" si="0"/>
        <v>344.60000000000014</v>
      </c>
      <c r="J16">
        <f t="shared" si="4"/>
        <v>342.53312499999998</v>
      </c>
      <c r="K16">
        <f t="shared" si="1"/>
        <v>8.2668750000000273</v>
      </c>
      <c r="L16">
        <f t="shared" si="5"/>
        <v>2.0668750000001523</v>
      </c>
      <c r="M16" s="8">
        <f t="shared" si="2"/>
        <v>348.73312499999986</v>
      </c>
      <c r="N16" s="2">
        <f t="shared" si="3"/>
        <v>6.1999999999998749</v>
      </c>
      <c r="O16" s="2">
        <f t="shared" si="6"/>
        <v>6.1999999999998749</v>
      </c>
    </row>
    <row r="17" spans="2:15" ht="12.75" customHeight="1" x14ac:dyDescent="0.4">
      <c r="B17" t="s">
        <v>94</v>
      </c>
      <c r="C17" s="2">
        <v>374.2</v>
      </c>
      <c r="D17" s="3">
        <v>12</v>
      </c>
      <c r="E17">
        <v>0</v>
      </c>
      <c r="F17">
        <v>0</v>
      </c>
      <c r="G17">
        <v>0</v>
      </c>
      <c r="H17">
        <v>1</v>
      </c>
      <c r="I17" s="3">
        <f t="shared" si="0"/>
        <v>372.27999999999992</v>
      </c>
      <c r="J17">
        <f t="shared" si="4"/>
        <v>347.63937499999997</v>
      </c>
      <c r="K17">
        <f t="shared" si="1"/>
        <v>26.560625000000016</v>
      </c>
      <c r="L17">
        <f t="shared" si="5"/>
        <v>24.640624999999943</v>
      </c>
      <c r="M17" s="8">
        <f t="shared" si="2"/>
        <v>349.55937500000005</v>
      </c>
      <c r="N17" s="2">
        <f t="shared" si="3"/>
        <v>1.9200000000000728</v>
      </c>
      <c r="O17" s="2">
        <f t="shared" si="6"/>
        <v>1.9200000000000728</v>
      </c>
    </row>
    <row r="18" spans="2:15" x14ac:dyDescent="0.4">
      <c r="B18" t="s">
        <v>95</v>
      </c>
      <c r="C18" s="2">
        <v>319.5</v>
      </c>
      <c r="D18" s="3">
        <v>13</v>
      </c>
      <c r="E18">
        <v>1</v>
      </c>
      <c r="F18">
        <v>0</v>
      </c>
      <c r="G18">
        <v>0</v>
      </c>
      <c r="H18">
        <v>0</v>
      </c>
      <c r="I18" s="3">
        <f t="shared" si="0"/>
        <v>320.78499999999985</v>
      </c>
      <c r="J18">
        <f t="shared" si="4"/>
        <v>352.74562500000002</v>
      </c>
      <c r="K18">
        <f t="shared" si="1"/>
        <v>-33.24562499999999</v>
      </c>
      <c r="L18">
        <f t="shared" si="5"/>
        <v>-31.960625000000107</v>
      </c>
      <c r="M18" s="8">
        <f t="shared" si="2"/>
        <v>351.46062500000011</v>
      </c>
      <c r="N18" s="2">
        <f t="shared" si="3"/>
        <v>-1.2849999999998545</v>
      </c>
      <c r="O18" s="2">
        <f t="shared" si="6"/>
        <v>-1.2849999999999113</v>
      </c>
    </row>
    <row r="19" spans="2:15" x14ac:dyDescent="0.4">
      <c r="B19" t="s">
        <v>96</v>
      </c>
      <c r="C19" s="2">
        <v>361.5</v>
      </c>
      <c r="D19" s="3">
        <v>14</v>
      </c>
      <c r="E19">
        <v>0</v>
      </c>
      <c r="F19">
        <v>1</v>
      </c>
      <c r="G19">
        <v>0</v>
      </c>
      <c r="H19">
        <v>0</v>
      </c>
      <c r="I19" s="3">
        <f t="shared" si="0"/>
        <v>363.10500000000008</v>
      </c>
      <c r="J19">
        <f t="shared" si="4"/>
        <v>357.85187500000001</v>
      </c>
      <c r="K19">
        <f t="shared" si="1"/>
        <v>3.6481249999999932</v>
      </c>
      <c r="L19">
        <f t="shared" si="5"/>
        <v>5.2531250000000682</v>
      </c>
      <c r="M19" s="8">
        <f t="shared" si="2"/>
        <v>356.24687499999993</v>
      </c>
      <c r="N19" s="2">
        <f t="shared" si="3"/>
        <v>-1.605000000000075</v>
      </c>
      <c r="O19" s="2">
        <f t="shared" si="6"/>
        <v>-1.605000000000075</v>
      </c>
    </row>
    <row r="20" spans="2:15" x14ac:dyDescent="0.4">
      <c r="B20" t="s">
        <v>97</v>
      </c>
      <c r="C20" s="2">
        <v>369.4</v>
      </c>
      <c r="D20" s="3">
        <v>15</v>
      </c>
      <c r="E20">
        <v>0</v>
      </c>
      <c r="F20">
        <v>0</v>
      </c>
      <c r="G20">
        <v>1</v>
      </c>
      <c r="H20">
        <v>0</v>
      </c>
      <c r="I20" s="3">
        <f t="shared" si="0"/>
        <v>365.02500000000015</v>
      </c>
      <c r="J20">
        <f t="shared" si="4"/>
        <v>362.958125</v>
      </c>
      <c r="K20">
        <f t="shared" si="1"/>
        <v>6.4418749999999818</v>
      </c>
      <c r="L20">
        <f t="shared" si="5"/>
        <v>2.0668750000001523</v>
      </c>
      <c r="M20" s="8">
        <f t="shared" si="2"/>
        <v>367.33312499999982</v>
      </c>
      <c r="N20" s="2">
        <f t="shared" si="3"/>
        <v>4.3749999999998295</v>
      </c>
      <c r="O20" s="2">
        <f t="shared" si="6"/>
        <v>4.3749999999998295</v>
      </c>
    </row>
    <row r="21" spans="2:15" x14ac:dyDescent="0.4">
      <c r="B21" t="s">
        <v>98</v>
      </c>
      <c r="C21" s="2">
        <v>395.2</v>
      </c>
      <c r="D21" s="3">
        <v>16</v>
      </c>
      <c r="E21">
        <v>0</v>
      </c>
      <c r="F21">
        <v>0</v>
      </c>
      <c r="G21">
        <v>0</v>
      </c>
      <c r="H21">
        <v>1</v>
      </c>
      <c r="I21" s="3">
        <f t="shared" si="0"/>
        <v>392.70499999999993</v>
      </c>
      <c r="J21">
        <f t="shared" si="4"/>
        <v>368.06437499999998</v>
      </c>
      <c r="K21">
        <f t="shared" si="1"/>
        <v>27.135625000000005</v>
      </c>
      <c r="L21">
        <f t="shared" si="5"/>
        <v>24.640624999999943</v>
      </c>
      <c r="M21" s="8">
        <f t="shared" si="2"/>
        <v>370.55937500000005</v>
      </c>
      <c r="N21" s="2">
        <f t="shared" si="3"/>
        <v>2.4950000000000614</v>
      </c>
      <c r="O21" s="2">
        <f t="shared" si="6"/>
        <v>2.4950000000000614</v>
      </c>
    </row>
    <row r="22" spans="2:15" x14ac:dyDescent="0.4">
      <c r="B22" t="s">
        <v>99</v>
      </c>
      <c r="C22" s="2">
        <v>332.6</v>
      </c>
      <c r="D22" s="3">
        <v>17</v>
      </c>
      <c r="E22">
        <v>1</v>
      </c>
      <c r="F22">
        <v>0</v>
      </c>
      <c r="G22">
        <v>0</v>
      </c>
      <c r="H22">
        <v>0</v>
      </c>
      <c r="I22" s="3">
        <f t="shared" si="0"/>
        <v>341.20999999999992</v>
      </c>
      <c r="J22">
        <f t="shared" si="4"/>
        <v>373.17062499999997</v>
      </c>
      <c r="K22">
        <f t="shared" si="1"/>
        <v>-40.570624999999978</v>
      </c>
      <c r="L22">
        <f t="shared" si="5"/>
        <v>-31.960625000000107</v>
      </c>
      <c r="M22" s="8">
        <f t="shared" si="2"/>
        <v>364.56062500000013</v>
      </c>
      <c r="N22" s="2">
        <f t="shared" si="3"/>
        <v>-8.6099999999999</v>
      </c>
      <c r="O22" s="2">
        <f t="shared" si="6"/>
        <v>-8.6099999999998431</v>
      </c>
    </row>
    <row r="23" spans="2:15" x14ac:dyDescent="0.4">
      <c r="B23" t="s">
        <v>100</v>
      </c>
      <c r="C23" s="2">
        <v>383.5</v>
      </c>
      <c r="D23" s="3">
        <v>18</v>
      </c>
      <c r="E23">
        <v>0</v>
      </c>
      <c r="F23">
        <v>1</v>
      </c>
      <c r="G23">
        <v>0</v>
      </c>
      <c r="H23">
        <v>0</v>
      </c>
      <c r="I23" s="3">
        <f t="shared" si="0"/>
        <v>383.53000000000009</v>
      </c>
      <c r="J23">
        <f t="shared" si="4"/>
        <v>378.27687500000002</v>
      </c>
      <c r="K23">
        <f t="shared" si="1"/>
        <v>5.2231249999999818</v>
      </c>
      <c r="L23">
        <f t="shared" si="5"/>
        <v>5.2531250000000682</v>
      </c>
      <c r="M23" s="8">
        <f t="shared" si="2"/>
        <v>378.24687499999993</v>
      </c>
      <c r="N23" s="2">
        <f t="shared" si="3"/>
        <v>-3.0000000000086402E-2</v>
      </c>
      <c r="O23" s="2">
        <f t="shared" si="6"/>
        <v>-3.0000000000086402E-2</v>
      </c>
    </row>
    <row r="24" spans="2:15" x14ac:dyDescent="0.4">
      <c r="B24" t="s">
        <v>101</v>
      </c>
      <c r="C24" s="2">
        <v>383.8</v>
      </c>
      <c r="D24" s="3">
        <v>19</v>
      </c>
      <c r="E24">
        <v>0</v>
      </c>
      <c r="F24">
        <v>0</v>
      </c>
      <c r="G24">
        <v>1</v>
      </c>
      <c r="H24">
        <v>0</v>
      </c>
      <c r="I24" s="3">
        <f t="shared" si="0"/>
        <v>385.45000000000016</v>
      </c>
      <c r="J24">
        <f t="shared" si="4"/>
        <v>383.38312500000001</v>
      </c>
      <c r="K24">
        <f t="shared" si="1"/>
        <v>0.41687500000000455</v>
      </c>
      <c r="L24">
        <f t="shared" si="5"/>
        <v>2.0668750000001523</v>
      </c>
      <c r="M24" s="8">
        <f t="shared" si="2"/>
        <v>381.73312499999986</v>
      </c>
      <c r="N24" s="2">
        <f t="shared" si="3"/>
        <v>-1.6500000000001478</v>
      </c>
      <c r="O24" s="2">
        <f t="shared" si="6"/>
        <v>-1.6500000000001478</v>
      </c>
    </row>
    <row r="25" spans="2:15" x14ac:dyDescent="0.4">
      <c r="B25" t="s">
        <v>102</v>
      </c>
      <c r="C25" s="2">
        <v>407.4</v>
      </c>
      <c r="D25" s="3">
        <v>20</v>
      </c>
      <c r="E25">
        <v>0</v>
      </c>
      <c r="F25">
        <v>0</v>
      </c>
      <c r="G25">
        <v>0</v>
      </c>
      <c r="H25">
        <v>1</v>
      </c>
      <c r="I25" s="3">
        <f t="shared" si="0"/>
        <v>413.12999999999994</v>
      </c>
      <c r="J25">
        <f t="shared" si="4"/>
        <v>388.489375</v>
      </c>
      <c r="K25">
        <f t="shared" si="1"/>
        <v>18.910624999999982</v>
      </c>
      <c r="L25">
        <f t="shared" si="5"/>
        <v>24.640624999999943</v>
      </c>
      <c r="M25" s="8">
        <f t="shared" si="2"/>
        <v>382.75937500000003</v>
      </c>
      <c r="N25" s="2">
        <f t="shared" si="3"/>
        <v>-5.7299999999999613</v>
      </c>
      <c r="O25" s="2">
        <f t="shared" si="6"/>
        <v>-5.7299999999999613</v>
      </c>
    </row>
    <row r="26" spans="2:15" x14ac:dyDescent="0.4">
      <c r="B26" t="s">
        <v>103</v>
      </c>
      <c r="C26" s="4"/>
      <c r="D26" s="3"/>
      <c r="E26" s="3"/>
      <c r="F26" s="3"/>
      <c r="G26" s="3"/>
      <c r="H26" s="3"/>
      <c r="K26" s="8"/>
      <c r="L26" s="5"/>
      <c r="N26" s="2">
        <f>SUM(N6:N25)</f>
        <v>1.7053025658242404E-13</v>
      </c>
      <c r="O26" s="2">
        <f>SUM(O6:O25)</f>
        <v>1.7053025658242404E-13</v>
      </c>
    </row>
    <row r="27" spans="2:15" x14ac:dyDescent="0.4">
      <c r="B27" t="s">
        <v>104</v>
      </c>
      <c r="C27" s="1"/>
      <c r="K27" s="8"/>
    </row>
    <row r="28" spans="2:15" x14ac:dyDescent="0.4">
      <c r="B28" t="s">
        <v>105</v>
      </c>
      <c r="C28" s="1"/>
    </row>
    <row r="29" spans="2:15" x14ac:dyDescent="0.4">
      <c r="B29" t="s">
        <v>106</v>
      </c>
      <c r="C29" s="1"/>
    </row>
    <row r="30" spans="2:15" ht="12.75" customHeight="1" x14ac:dyDescent="0.4">
      <c r="C30" s="1"/>
    </row>
    <row r="31" spans="2:15" x14ac:dyDescent="0.4">
      <c r="C31" s="26" t="s">
        <v>8</v>
      </c>
      <c r="D31" s="26"/>
      <c r="E31" s="26"/>
      <c r="F31" s="26"/>
    </row>
    <row r="32" spans="2:15" x14ac:dyDescent="0.4">
      <c r="C32" s="26"/>
      <c r="D32" s="26"/>
      <c r="E32" s="26"/>
      <c r="F32" s="26"/>
      <c r="K32" t="s">
        <v>10</v>
      </c>
      <c r="L32" t="s">
        <v>77</v>
      </c>
    </row>
    <row r="33" spans="3:13" x14ac:dyDescent="0.4">
      <c r="C33" s="1">
        <f t="array" ref="C33:G37">LINEST(C6:C25,D6:H25,0,1)</f>
        <v>311.00499999999988</v>
      </c>
      <c r="D33" s="1">
        <v>288.43125000000009</v>
      </c>
      <c r="E33">
        <v>291.61750000000001</v>
      </c>
      <c r="F33">
        <v>254.40374999999983</v>
      </c>
      <c r="G33">
        <v>5.1062500000000037</v>
      </c>
      <c r="J33" t="s">
        <v>16</v>
      </c>
      <c r="K33">
        <f>INDEX(C$33:G$33,1,M33)</f>
        <v>5.1062500000000037</v>
      </c>
      <c r="M33">
        <v>5</v>
      </c>
    </row>
    <row r="34" spans="3:13" x14ac:dyDescent="0.4">
      <c r="C34" s="1">
        <v>3.9694859029014284</v>
      </c>
      <c r="D34" s="1">
        <v>3.797952120880391</v>
      </c>
      <c r="E34">
        <v>3.6342703875743569</v>
      </c>
      <c r="F34">
        <v>3.4795489859798221</v>
      </c>
      <c r="G34">
        <v>0.24068543613327764</v>
      </c>
      <c r="H34" t="s">
        <v>9</v>
      </c>
      <c r="J34" t="s">
        <v>1</v>
      </c>
      <c r="K34">
        <f>INDEX(C$33:G$33,1,M34)</f>
        <v>254.40374999999983</v>
      </c>
      <c r="L34">
        <f>K34-AVERAGE($K$34:$K$37)</f>
        <v>-31.960625000000107</v>
      </c>
      <c r="M34">
        <v>4</v>
      </c>
    </row>
    <row r="35" spans="3:13" x14ac:dyDescent="0.4">
      <c r="C35" s="1">
        <v>0.99976256177098621</v>
      </c>
      <c r="D35" s="1">
        <v>6.0889134224971766</v>
      </c>
      <c r="E35" t="e">
        <v>#N/A</v>
      </c>
      <c r="F35" t="e">
        <v>#N/A</v>
      </c>
      <c r="G35" t="e">
        <v>#N/A</v>
      </c>
      <c r="J35" t="s">
        <v>2</v>
      </c>
      <c r="K35">
        <f>INDEX(C$33:G$33,1,M35)</f>
        <v>291.61750000000001</v>
      </c>
      <c r="L35">
        <f>K35-AVERAGE($K$34:$K$37)</f>
        <v>5.2531250000000682</v>
      </c>
      <c r="M35">
        <v>3</v>
      </c>
    </row>
    <row r="36" spans="3:13" x14ac:dyDescent="0.4">
      <c r="C36" s="1">
        <v>12631.865128757616</v>
      </c>
      <c r="D36" s="1">
        <v>15</v>
      </c>
      <c r="E36" t="e">
        <v>#N/A</v>
      </c>
      <c r="F36" t="e">
        <v>#N/A</v>
      </c>
      <c r="G36" t="e">
        <v>#N/A</v>
      </c>
      <c r="J36" t="s">
        <v>3</v>
      </c>
      <c r="K36">
        <f>INDEX(C$33:G$33,1,M36)</f>
        <v>288.43125000000009</v>
      </c>
      <c r="L36">
        <f>K36-AVERAGE($K$34:$K$37)</f>
        <v>2.0668750000001523</v>
      </c>
      <c r="M36">
        <v>2</v>
      </c>
    </row>
    <row r="37" spans="3:13" x14ac:dyDescent="0.4">
      <c r="C37" s="1">
        <v>2341623.5769999996</v>
      </c>
      <c r="D37" s="1">
        <v>556.12299999999425</v>
      </c>
      <c r="E37" t="e">
        <v>#N/A</v>
      </c>
      <c r="F37" t="e">
        <v>#N/A</v>
      </c>
      <c r="G37" t="e">
        <v>#N/A</v>
      </c>
      <c r="J37" t="s">
        <v>5</v>
      </c>
      <c r="K37">
        <f>INDEX(C$33:G$33,1,M37)</f>
        <v>311.00499999999988</v>
      </c>
      <c r="L37">
        <f>K37-AVERAGE($K$34:$K$37)</f>
        <v>24.640624999999943</v>
      </c>
      <c r="M37">
        <v>1</v>
      </c>
    </row>
    <row r="38" spans="3:13" x14ac:dyDescent="0.4">
      <c r="C38" s="1"/>
      <c r="J38" t="s">
        <v>82</v>
      </c>
      <c r="K38">
        <f>AVERAGE(K34:K37)</f>
        <v>286.36437499999994</v>
      </c>
      <c r="L38">
        <f>SUM(L33:L37)</f>
        <v>5.6843418860808015E-14</v>
      </c>
    </row>
    <row r="39" spans="3:13" ht="12.75" customHeight="1" x14ac:dyDescent="0.4">
      <c r="C39" s="1"/>
    </row>
    <row r="40" spans="3:13" ht="12.75" customHeight="1" x14ac:dyDescent="0.4">
      <c r="C40" s="1"/>
    </row>
    <row r="41" spans="3:13" x14ac:dyDescent="0.4">
      <c r="C41" s="1"/>
      <c r="M41" s="3"/>
    </row>
    <row r="42" spans="3:13" x14ac:dyDescent="0.4">
      <c r="C42" s="1"/>
      <c r="M42" s="3"/>
    </row>
    <row r="43" spans="3:13" x14ac:dyDescent="0.4">
      <c r="C43" s="1"/>
      <c r="M43" s="3"/>
    </row>
    <row r="44" spans="3:13" x14ac:dyDescent="0.4">
      <c r="C44" s="1"/>
      <c r="M44" s="3"/>
    </row>
    <row r="45" spans="3:13" x14ac:dyDescent="0.4">
      <c r="C45" s="1"/>
      <c r="M45" s="3"/>
    </row>
    <row r="46" spans="3:13" x14ac:dyDescent="0.4">
      <c r="C46" s="1"/>
      <c r="M46" s="3"/>
    </row>
    <row r="47" spans="3:13" x14ac:dyDescent="0.4">
      <c r="C47" s="1"/>
      <c r="M47" s="3"/>
    </row>
    <row r="48" spans="3:13" x14ac:dyDescent="0.4">
      <c r="C48" s="1"/>
    </row>
    <row r="49" spans="3:4" x14ac:dyDescent="0.4">
      <c r="C49" s="1"/>
    </row>
    <row r="50" spans="3:4" x14ac:dyDescent="0.4">
      <c r="C50" s="1"/>
    </row>
    <row r="51" spans="3:4" x14ac:dyDescent="0.4">
      <c r="C51" s="1"/>
    </row>
    <row r="52" spans="3:4" x14ac:dyDescent="0.4">
      <c r="C52" s="1"/>
    </row>
    <row r="53" spans="3:4" x14ac:dyDescent="0.4">
      <c r="C53" s="1"/>
    </row>
    <row r="54" spans="3:4" x14ac:dyDescent="0.4">
      <c r="C54" s="1"/>
    </row>
    <row r="55" spans="3:4" ht="24.9" x14ac:dyDescent="0.8">
      <c r="C55" s="1"/>
      <c r="D55" s="13"/>
    </row>
    <row r="56" spans="3:4" x14ac:dyDescent="0.4">
      <c r="C56" s="1"/>
      <c r="D56" s="24"/>
    </row>
    <row r="57" spans="3:4" x14ac:dyDescent="0.4">
      <c r="C57" s="1"/>
    </row>
    <row r="58" spans="3:4" x14ac:dyDescent="0.4">
      <c r="C58" s="1"/>
    </row>
    <row r="59" spans="3:4" x14ac:dyDescent="0.4">
      <c r="C59" s="1"/>
    </row>
    <row r="60" spans="3:4" x14ac:dyDescent="0.4">
      <c r="C60" s="1"/>
    </row>
    <row r="61" spans="3:4" x14ac:dyDescent="0.4">
      <c r="C61" s="1"/>
    </row>
    <row r="62" spans="3:4" x14ac:dyDescent="0.4">
      <c r="C62" s="1"/>
    </row>
    <row r="63" spans="3:4" x14ac:dyDescent="0.4">
      <c r="C63" s="1"/>
    </row>
    <row r="64" spans="3:4" ht="12.75" customHeight="1" x14ac:dyDescent="0.4">
      <c r="C64" s="1"/>
    </row>
    <row r="65" spans="3:12" ht="12.6" thickBot="1" x14ac:dyDescent="0.45">
      <c r="C65" s="1"/>
    </row>
    <row r="66" spans="3:12" ht="12.6" x14ac:dyDescent="0.45">
      <c r="C66" s="1"/>
      <c r="D66" s="17"/>
      <c r="E66" s="17"/>
    </row>
    <row r="67" spans="3:12" x14ac:dyDescent="0.4">
      <c r="C67" s="1"/>
      <c r="D67" s="14"/>
      <c r="E67" s="14"/>
    </row>
    <row r="68" spans="3:12" x14ac:dyDescent="0.4">
      <c r="C68" s="1"/>
      <c r="D68" s="14"/>
      <c r="E68" s="14"/>
    </row>
    <row r="69" spans="3:12" x14ac:dyDescent="0.4">
      <c r="C69" s="1"/>
      <c r="D69" s="14"/>
      <c r="E69" s="14"/>
    </row>
    <row r="70" spans="3:12" x14ac:dyDescent="0.4">
      <c r="C70" s="1"/>
      <c r="D70" s="14"/>
      <c r="E70" s="14"/>
    </row>
    <row r="71" spans="3:12" ht="12.6" thickBot="1" x14ac:dyDescent="0.45">
      <c r="C71" s="1"/>
      <c r="D71" s="15"/>
      <c r="E71" s="15"/>
    </row>
    <row r="72" spans="3:12" x14ac:dyDescent="0.4">
      <c r="C72" s="1"/>
    </row>
    <row r="73" spans="3:12" ht="12.6" thickBot="1" x14ac:dyDescent="0.45">
      <c r="C73" s="1"/>
    </row>
    <row r="74" spans="3:12" ht="12.6" x14ac:dyDescent="0.45">
      <c r="C74" s="1"/>
      <c r="D74" s="16"/>
      <c r="E74" s="16"/>
      <c r="F74" s="16"/>
      <c r="G74" s="16"/>
      <c r="H74" s="16"/>
      <c r="I74" s="16"/>
    </row>
    <row r="75" spans="3:12" x14ac:dyDescent="0.4">
      <c r="C75" s="1"/>
      <c r="D75" s="14"/>
      <c r="E75" s="14"/>
      <c r="F75" s="14"/>
      <c r="G75" s="14"/>
      <c r="H75" s="14"/>
      <c r="I75" s="14"/>
    </row>
    <row r="76" spans="3:12" x14ac:dyDescent="0.4">
      <c r="C76" s="1"/>
      <c r="D76" s="14"/>
      <c r="E76" s="14"/>
      <c r="F76" s="14"/>
      <c r="G76" s="14"/>
      <c r="H76" s="14"/>
      <c r="I76" s="14"/>
    </row>
    <row r="77" spans="3:12" ht="12.6" thickBot="1" x14ac:dyDescent="0.45">
      <c r="C77" s="1"/>
      <c r="D77" s="15"/>
      <c r="E77" s="15"/>
      <c r="F77" s="15"/>
      <c r="G77" s="15"/>
      <c r="H77" s="15"/>
      <c r="I77" s="15"/>
    </row>
    <row r="78" spans="3:12" ht="12.6" thickBot="1" x14ac:dyDescent="0.45">
      <c r="C78" s="1"/>
    </row>
    <row r="79" spans="3:12" ht="12.6" x14ac:dyDescent="0.45">
      <c r="C79" s="1"/>
      <c r="D79" s="16"/>
      <c r="E79" s="16"/>
      <c r="F79" s="16"/>
      <c r="G79" s="16"/>
      <c r="H79" s="16"/>
      <c r="I79" s="16"/>
      <c r="J79" s="16"/>
      <c r="K79" s="16"/>
      <c r="L79" s="16"/>
    </row>
    <row r="80" spans="3:12" x14ac:dyDescent="0.4">
      <c r="C80" s="1"/>
      <c r="D80" s="14"/>
      <c r="E80" s="14"/>
      <c r="F80" s="14"/>
      <c r="G80" s="14"/>
      <c r="H80" s="14"/>
      <c r="I80" s="14"/>
      <c r="J80" s="14"/>
      <c r="K80" s="14"/>
      <c r="L80" s="14"/>
    </row>
    <row r="81" spans="3:12" x14ac:dyDescent="0.4">
      <c r="C81" s="1"/>
      <c r="D81" s="14"/>
      <c r="E81" s="14"/>
      <c r="F81" s="14"/>
      <c r="G81" s="14"/>
      <c r="H81" s="14"/>
      <c r="I81" s="14"/>
      <c r="J81" s="14"/>
      <c r="K81" s="14"/>
      <c r="L81" s="14"/>
    </row>
    <row r="82" spans="3:12" x14ac:dyDescent="0.4">
      <c r="C82" s="1"/>
      <c r="D82" s="14"/>
      <c r="E82" s="14"/>
      <c r="F82" s="14"/>
      <c r="G82" s="14"/>
      <c r="H82" s="14"/>
      <c r="I82" s="14"/>
      <c r="J82" s="14"/>
      <c r="K82" s="14"/>
      <c r="L82" s="14"/>
    </row>
    <row r="83" spans="3:12" x14ac:dyDescent="0.4">
      <c r="C83" s="1"/>
      <c r="D83" s="14"/>
      <c r="E83" s="14"/>
      <c r="F83" s="14"/>
      <c r="G83" s="14"/>
      <c r="H83" s="14"/>
      <c r="I83" s="14"/>
      <c r="J83" s="14"/>
      <c r="K83" s="14"/>
      <c r="L83" s="14"/>
    </row>
    <row r="84" spans="3:12" ht="12.6" thickBot="1" x14ac:dyDescent="0.45">
      <c r="C84" s="1"/>
      <c r="D84" s="15"/>
      <c r="E84" s="15"/>
      <c r="F84" s="15"/>
      <c r="G84" s="15"/>
      <c r="H84" s="15"/>
      <c r="I84" s="15"/>
      <c r="J84" s="15"/>
      <c r="K84" s="15"/>
      <c r="L84" s="15"/>
    </row>
    <row r="85" spans="3:12" x14ac:dyDescent="0.4">
      <c r="C85" s="1"/>
    </row>
    <row r="86" spans="3:12" x14ac:dyDescent="0.4">
      <c r="C86" s="1"/>
    </row>
    <row r="87" spans="3:12" x14ac:dyDescent="0.4">
      <c r="C87" s="1"/>
    </row>
    <row r="88" spans="3:12" x14ac:dyDescent="0.4">
      <c r="C88" s="1"/>
    </row>
    <row r="89" spans="3:12" x14ac:dyDescent="0.4">
      <c r="C89" s="1"/>
    </row>
    <row r="90" spans="3:12" x14ac:dyDescent="0.4">
      <c r="C90" s="1"/>
    </row>
    <row r="91" spans="3:12" x14ac:dyDescent="0.4">
      <c r="C91" s="1"/>
    </row>
    <row r="92" spans="3:12" ht="22.2" x14ac:dyDescent="0.7">
      <c r="C92" s="1"/>
      <c r="E92" s="22"/>
    </row>
    <row r="93" spans="3:12" x14ac:dyDescent="0.4">
      <c r="C93" s="1"/>
    </row>
    <row r="94" spans="3:12" x14ac:dyDescent="0.4">
      <c r="C94" s="1"/>
    </row>
    <row r="95" spans="3:12" x14ac:dyDescent="0.4">
      <c r="C95" s="1"/>
    </row>
    <row r="96" spans="3:12" x14ac:dyDescent="0.4">
      <c r="C96" s="1"/>
    </row>
    <row r="97" spans="3:10" x14ac:dyDescent="0.4">
      <c r="C97" s="1"/>
    </row>
    <row r="98" spans="3:10" x14ac:dyDescent="0.4">
      <c r="C98" s="1"/>
    </row>
    <row r="99" spans="3:10" ht="22.5" x14ac:dyDescent="0.75">
      <c r="C99" s="1"/>
      <c r="I99" s="23"/>
    </row>
    <row r="100" spans="3:10" x14ac:dyDescent="0.4">
      <c r="C100" s="1"/>
    </row>
    <row r="101" spans="3:10" x14ac:dyDescent="0.4">
      <c r="C101" s="1"/>
    </row>
    <row r="102" spans="3:10" x14ac:dyDescent="0.4">
      <c r="C102" s="1"/>
    </row>
    <row r="103" spans="3:10" x14ac:dyDescent="0.4">
      <c r="C103" s="1"/>
    </row>
    <row r="104" spans="3:10" x14ac:dyDescent="0.4">
      <c r="C104" s="1"/>
    </row>
    <row r="105" spans="3:10" x14ac:dyDescent="0.4">
      <c r="C105" s="1"/>
    </row>
    <row r="106" spans="3:10" x14ac:dyDescent="0.4">
      <c r="C106" s="1"/>
    </row>
    <row r="107" spans="3:10" x14ac:dyDescent="0.4">
      <c r="C107" s="1"/>
    </row>
    <row r="108" spans="3:10" x14ac:dyDescent="0.4">
      <c r="C108" s="1"/>
    </row>
    <row r="109" spans="3:10" ht="18" customHeight="1" x14ac:dyDescent="0.4">
      <c r="C109" s="1"/>
      <c r="G109" s="25"/>
      <c r="H109" s="25"/>
      <c r="I109" s="25"/>
      <c r="J109" s="25"/>
    </row>
    <row r="110" spans="3:10" ht="18" customHeight="1" x14ac:dyDescent="0.4">
      <c r="C110" s="1"/>
      <c r="G110" s="25"/>
      <c r="H110" s="25"/>
      <c r="I110" s="25"/>
      <c r="J110" s="25"/>
    </row>
    <row r="111" spans="3:10" ht="18" customHeight="1" x14ac:dyDescent="0.4">
      <c r="C111" s="1"/>
      <c r="G111" s="25"/>
      <c r="H111" s="25"/>
      <c r="I111" s="25"/>
      <c r="J111" s="25"/>
    </row>
    <row r="112" spans="3:10" ht="18" customHeight="1" x14ac:dyDescent="0.4">
      <c r="C112" s="1"/>
      <c r="G112" s="25"/>
      <c r="H112" s="25"/>
      <c r="I112" s="25"/>
      <c r="J112" s="25"/>
    </row>
    <row r="113" spans="3:3" x14ac:dyDescent="0.4">
      <c r="C113" s="1"/>
    </row>
    <row r="114" spans="3:3" x14ac:dyDescent="0.4">
      <c r="C114" s="1"/>
    </row>
    <row r="115" spans="3:3" x14ac:dyDescent="0.4">
      <c r="C115" s="1"/>
    </row>
    <row r="116" spans="3:3" x14ac:dyDescent="0.4">
      <c r="C116" s="1"/>
    </row>
    <row r="117" spans="3:3" x14ac:dyDescent="0.4">
      <c r="C117" s="1"/>
    </row>
    <row r="118" spans="3:3" x14ac:dyDescent="0.4">
      <c r="C118" s="1"/>
    </row>
    <row r="119" spans="3:3" x14ac:dyDescent="0.4">
      <c r="C119" s="1"/>
    </row>
    <row r="120" spans="3:3" x14ac:dyDescent="0.4">
      <c r="C120" s="1"/>
    </row>
    <row r="121" spans="3:3" x14ac:dyDescent="0.4">
      <c r="C121" s="1"/>
    </row>
    <row r="122" spans="3:3" x14ac:dyDescent="0.4">
      <c r="C122" s="1"/>
    </row>
    <row r="123" spans="3:3" x14ac:dyDescent="0.4">
      <c r="C123" s="1"/>
    </row>
    <row r="124" spans="3:3" x14ac:dyDescent="0.4">
      <c r="C124" s="1"/>
    </row>
    <row r="125" spans="3:3" x14ac:dyDescent="0.4">
      <c r="C125" s="1"/>
    </row>
    <row r="126" spans="3:3" x14ac:dyDescent="0.4">
      <c r="C126" s="1"/>
    </row>
    <row r="127" spans="3:3" x14ac:dyDescent="0.4">
      <c r="C127" s="1"/>
    </row>
    <row r="128" spans="3:3" x14ac:dyDescent="0.4">
      <c r="C128" s="1"/>
    </row>
    <row r="129" spans="3:3" x14ac:dyDescent="0.4">
      <c r="C129" s="1"/>
    </row>
    <row r="130" spans="3:3" x14ac:dyDescent="0.4">
      <c r="C130" s="1"/>
    </row>
    <row r="131" spans="3:3" x14ac:dyDescent="0.4">
      <c r="C131" s="1"/>
    </row>
    <row r="132" spans="3:3" x14ac:dyDescent="0.4">
      <c r="C132" s="1"/>
    </row>
    <row r="133" spans="3:3" x14ac:dyDescent="0.4">
      <c r="C133" s="1"/>
    </row>
    <row r="134" spans="3:3" x14ac:dyDescent="0.4">
      <c r="C134" s="1"/>
    </row>
    <row r="135" spans="3:3" x14ac:dyDescent="0.4">
      <c r="C135" s="1"/>
    </row>
    <row r="136" spans="3:3" x14ac:dyDescent="0.4">
      <c r="C136" s="1"/>
    </row>
    <row r="137" spans="3:3" x14ac:dyDescent="0.4">
      <c r="C137" s="1"/>
    </row>
    <row r="138" spans="3:3" x14ac:dyDescent="0.4">
      <c r="C138" s="1"/>
    </row>
    <row r="139" spans="3:3" x14ac:dyDescent="0.4">
      <c r="C139" s="1"/>
    </row>
    <row r="140" spans="3:3" x14ac:dyDescent="0.4">
      <c r="C140" s="1"/>
    </row>
    <row r="141" spans="3:3" x14ac:dyDescent="0.4">
      <c r="C141" s="1"/>
    </row>
    <row r="142" spans="3:3" x14ac:dyDescent="0.4">
      <c r="C142" s="1"/>
    </row>
    <row r="143" spans="3:3" x14ac:dyDescent="0.4">
      <c r="C143" s="1"/>
    </row>
    <row r="144" spans="3:3" x14ac:dyDescent="0.4">
      <c r="C144" s="1"/>
    </row>
    <row r="145" spans="3:3" x14ac:dyDescent="0.4">
      <c r="C145" s="1"/>
    </row>
    <row r="146" spans="3:3" x14ac:dyDescent="0.4">
      <c r="C146" s="1"/>
    </row>
    <row r="147" spans="3:3" x14ac:dyDescent="0.4">
      <c r="C147" s="1"/>
    </row>
    <row r="148" spans="3:3" x14ac:dyDescent="0.4">
      <c r="C148" s="1"/>
    </row>
    <row r="149" spans="3:3" x14ac:dyDescent="0.4">
      <c r="C149" s="1"/>
    </row>
    <row r="150" spans="3:3" x14ac:dyDescent="0.4">
      <c r="C150" s="1"/>
    </row>
    <row r="151" spans="3:3" x14ac:dyDescent="0.4">
      <c r="C151" s="1"/>
    </row>
    <row r="152" spans="3:3" x14ac:dyDescent="0.4">
      <c r="C152" s="1"/>
    </row>
    <row r="153" spans="3:3" x14ac:dyDescent="0.4">
      <c r="C153" s="1"/>
    </row>
    <row r="154" spans="3:3" x14ac:dyDescent="0.4">
      <c r="C154" s="1"/>
    </row>
    <row r="155" spans="3:3" x14ac:dyDescent="0.4">
      <c r="C155" s="1"/>
    </row>
    <row r="156" spans="3:3" x14ac:dyDescent="0.4">
      <c r="C156" s="1"/>
    </row>
    <row r="157" spans="3:3" x14ac:dyDescent="0.4">
      <c r="C157" s="1"/>
    </row>
    <row r="158" spans="3:3" x14ac:dyDescent="0.4">
      <c r="C158" s="1"/>
    </row>
    <row r="159" spans="3:3" x14ac:dyDescent="0.4">
      <c r="C159" s="1"/>
    </row>
    <row r="160" spans="3:3" x14ac:dyDescent="0.4">
      <c r="C160" s="1"/>
    </row>
    <row r="161" spans="3:3" x14ac:dyDescent="0.4">
      <c r="C161" s="1"/>
    </row>
    <row r="162" spans="3:3" x14ac:dyDescent="0.4">
      <c r="C162" s="1"/>
    </row>
    <row r="163" spans="3:3" x14ac:dyDescent="0.4">
      <c r="C163" s="1"/>
    </row>
    <row r="164" spans="3:3" x14ac:dyDescent="0.4">
      <c r="C164" s="1"/>
    </row>
    <row r="165" spans="3:3" x14ac:dyDescent="0.4">
      <c r="C165" s="1"/>
    </row>
    <row r="166" spans="3:3" x14ac:dyDescent="0.4">
      <c r="C166" s="1"/>
    </row>
    <row r="167" spans="3:3" x14ac:dyDescent="0.4">
      <c r="C167" s="1"/>
    </row>
    <row r="168" spans="3:3" x14ac:dyDescent="0.4">
      <c r="C168" s="1"/>
    </row>
    <row r="169" spans="3:3" x14ac:dyDescent="0.4">
      <c r="C169" s="1"/>
    </row>
    <row r="170" spans="3:3" x14ac:dyDescent="0.4">
      <c r="C170" s="1"/>
    </row>
    <row r="171" spans="3:3" x14ac:dyDescent="0.4">
      <c r="C171" s="1"/>
    </row>
    <row r="172" spans="3:3" x14ac:dyDescent="0.4">
      <c r="C172" s="1"/>
    </row>
    <row r="173" spans="3:3" x14ac:dyDescent="0.4">
      <c r="C173" s="1"/>
    </row>
    <row r="174" spans="3:3" x14ac:dyDescent="0.4">
      <c r="C174" s="1"/>
    </row>
    <row r="175" spans="3:3" x14ac:dyDescent="0.4">
      <c r="C175" s="1"/>
    </row>
    <row r="176" spans="3:3" x14ac:dyDescent="0.4">
      <c r="C176" s="1"/>
    </row>
    <row r="177" spans="3:3" x14ac:dyDescent="0.4">
      <c r="C177" s="1"/>
    </row>
    <row r="178" spans="3:3" x14ac:dyDescent="0.4">
      <c r="C178" s="1"/>
    </row>
    <row r="179" spans="3:3" x14ac:dyDescent="0.4">
      <c r="C179" s="1"/>
    </row>
    <row r="180" spans="3:3" x14ac:dyDescent="0.4">
      <c r="C180" s="1"/>
    </row>
    <row r="181" spans="3:3" x14ac:dyDescent="0.4">
      <c r="C181" s="1"/>
    </row>
    <row r="182" spans="3:3" x14ac:dyDescent="0.4">
      <c r="C182" s="1"/>
    </row>
    <row r="183" spans="3:3" x14ac:dyDescent="0.4">
      <c r="C183" s="1"/>
    </row>
    <row r="184" spans="3:3" x14ac:dyDescent="0.4">
      <c r="C184" s="1"/>
    </row>
    <row r="185" spans="3:3" x14ac:dyDescent="0.4">
      <c r="C185" s="1"/>
    </row>
    <row r="186" spans="3:3" x14ac:dyDescent="0.4">
      <c r="C186" s="1"/>
    </row>
    <row r="187" spans="3:3" x14ac:dyDescent="0.4">
      <c r="C187" s="1"/>
    </row>
    <row r="188" spans="3:3" x14ac:dyDescent="0.4">
      <c r="C188" s="1"/>
    </row>
    <row r="189" spans="3:3" x14ac:dyDescent="0.4">
      <c r="C189" s="1"/>
    </row>
    <row r="190" spans="3:3" x14ac:dyDescent="0.4">
      <c r="C190" s="1"/>
    </row>
    <row r="191" spans="3:3" x14ac:dyDescent="0.4">
      <c r="C191" s="1"/>
    </row>
    <row r="192" spans="3:3" x14ac:dyDescent="0.4">
      <c r="C192" s="1"/>
    </row>
    <row r="193" spans="3:3" x14ac:dyDescent="0.4">
      <c r="C193" s="1"/>
    </row>
    <row r="194" spans="3:3" x14ac:dyDescent="0.4">
      <c r="C194" s="1"/>
    </row>
    <row r="195" spans="3:3" x14ac:dyDescent="0.4">
      <c r="C195" s="1"/>
    </row>
    <row r="196" spans="3:3" x14ac:dyDescent="0.4">
      <c r="C196" s="1"/>
    </row>
    <row r="197" spans="3:3" x14ac:dyDescent="0.4">
      <c r="C197" s="1"/>
    </row>
    <row r="198" spans="3:3" x14ac:dyDescent="0.4">
      <c r="C198" s="1"/>
    </row>
    <row r="199" spans="3:3" x14ac:dyDescent="0.4">
      <c r="C199" s="1"/>
    </row>
    <row r="200" spans="3:3" x14ac:dyDescent="0.4">
      <c r="C200" s="1"/>
    </row>
    <row r="201" spans="3:3" x14ac:dyDescent="0.4">
      <c r="C201" s="1"/>
    </row>
    <row r="202" spans="3:3" x14ac:dyDescent="0.4">
      <c r="C202" s="1"/>
    </row>
    <row r="203" spans="3:3" x14ac:dyDescent="0.4">
      <c r="C203" s="1"/>
    </row>
    <row r="204" spans="3:3" x14ac:dyDescent="0.4">
      <c r="C204" s="1"/>
    </row>
    <row r="205" spans="3:3" x14ac:dyDescent="0.4">
      <c r="C205" s="1"/>
    </row>
    <row r="206" spans="3:3" x14ac:dyDescent="0.4">
      <c r="C206" s="1"/>
    </row>
    <row r="207" spans="3:3" x14ac:dyDescent="0.4">
      <c r="C207" s="1"/>
    </row>
    <row r="208" spans="3:3" x14ac:dyDescent="0.4">
      <c r="C208" s="1"/>
    </row>
    <row r="209" spans="3:3" x14ac:dyDescent="0.4">
      <c r="C209" s="1"/>
    </row>
    <row r="210" spans="3:3" x14ac:dyDescent="0.4">
      <c r="C210" s="1"/>
    </row>
    <row r="211" spans="3:3" x14ac:dyDescent="0.4">
      <c r="C211" s="1"/>
    </row>
    <row r="212" spans="3:3" x14ac:dyDescent="0.4">
      <c r="C212" s="1"/>
    </row>
    <row r="213" spans="3:3" x14ac:dyDescent="0.4">
      <c r="C213" s="1"/>
    </row>
    <row r="214" spans="3:3" x14ac:dyDescent="0.4">
      <c r="C214" s="1"/>
    </row>
    <row r="215" spans="3:3" x14ac:dyDescent="0.4">
      <c r="C215" s="1"/>
    </row>
    <row r="216" spans="3:3" x14ac:dyDescent="0.4">
      <c r="C216" s="1"/>
    </row>
    <row r="217" spans="3:3" x14ac:dyDescent="0.4">
      <c r="C217" s="1"/>
    </row>
    <row r="218" spans="3:3" x14ac:dyDescent="0.4">
      <c r="C218" s="1"/>
    </row>
    <row r="219" spans="3:3" x14ac:dyDescent="0.4">
      <c r="C219" s="1"/>
    </row>
    <row r="220" spans="3:3" x14ac:dyDescent="0.4">
      <c r="C220" s="1"/>
    </row>
    <row r="221" spans="3:3" x14ac:dyDescent="0.4">
      <c r="C221" s="1"/>
    </row>
    <row r="222" spans="3:3" x14ac:dyDescent="0.4">
      <c r="C222" s="1"/>
    </row>
    <row r="223" spans="3:3" x14ac:dyDescent="0.4">
      <c r="C223" s="1"/>
    </row>
    <row r="224" spans="3:3" x14ac:dyDescent="0.4">
      <c r="C224" s="1"/>
    </row>
    <row r="225" spans="3:3" x14ac:dyDescent="0.4">
      <c r="C225" s="1"/>
    </row>
    <row r="226" spans="3:3" x14ac:dyDescent="0.4">
      <c r="C226" s="1"/>
    </row>
    <row r="227" spans="3:3" x14ac:dyDescent="0.4">
      <c r="C227" s="1"/>
    </row>
    <row r="228" spans="3:3" x14ac:dyDescent="0.4">
      <c r="C228" s="1"/>
    </row>
    <row r="229" spans="3:3" x14ac:dyDescent="0.4">
      <c r="C229" s="1"/>
    </row>
    <row r="230" spans="3:3" x14ac:dyDescent="0.4">
      <c r="C230" s="1"/>
    </row>
    <row r="231" spans="3:3" x14ac:dyDescent="0.4">
      <c r="C231" s="1"/>
    </row>
    <row r="232" spans="3:3" x14ac:dyDescent="0.4">
      <c r="C232" s="1"/>
    </row>
    <row r="233" spans="3:3" x14ac:dyDescent="0.4">
      <c r="C233" s="1"/>
    </row>
    <row r="234" spans="3:3" x14ac:dyDescent="0.4">
      <c r="C234" s="1"/>
    </row>
    <row r="235" spans="3:3" x14ac:dyDescent="0.4">
      <c r="C235" s="1"/>
    </row>
    <row r="236" spans="3:3" x14ac:dyDescent="0.4">
      <c r="C236" s="1"/>
    </row>
    <row r="237" spans="3:3" x14ac:dyDescent="0.4">
      <c r="C237" s="1"/>
    </row>
    <row r="238" spans="3:3" x14ac:dyDescent="0.4">
      <c r="C238" s="1"/>
    </row>
    <row r="239" spans="3:3" x14ac:dyDescent="0.4">
      <c r="C239" s="1"/>
    </row>
    <row r="240" spans="3:3" x14ac:dyDescent="0.4">
      <c r="C240" s="1"/>
    </row>
    <row r="241" spans="3:3" x14ac:dyDescent="0.4">
      <c r="C241" s="1"/>
    </row>
    <row r="242" spans="3:3" x14ac:dyDescent="0.4">
      <c r="C242" s="1"/>
    </row>
    <row r="243" spans="3:3" x14ac:dyDescent="0.4">
      <c r="C243" s="1"/>
    </row>
    <row r="244" spans="3:3" x14ac:dyDescent="0.4">
      <c r="C244" s="1"/>
    </row>
    <row r="245" spans="3:3" x14ac:dyDescent="0.4">
      <c r="C245" s="1"/>
    </row>
    <row r="246" spans="3:3" x14ac:dyDescent="0.4">
      <c r="C246" s="1"/>
    </row>
    <row r="247" spans="3:3" x14ac:dyDescent="0.4">
      <c r="C247" s="1"/>
    </row>
    <row r="248" spans="3:3" x14ac:dyDescent="0.4">
      <c r="C248" s="1"/>
    </row>
    <row r="249" spans="3:3" x14ac:dyDescent="0.4">
      <c r="C249" s="1"/>
    </row>
    <row r="250" spans="3:3" x14ac:dyDescent="0.4">
      <c r="C250" s="1"/>
    </row>
    <row r="251" spans="3:3" x14ac:dyDescent="0.4">
      <c r="C251" s="1"/>
    </row>
    <row r="252" spans="3:3" x14ac:dyDescent="0.4">
      <c r="C252" s="1"/>
    </row>
    <row r="253" spans="3:3" x14ac:dyDescent="0.4">
      <c r="C253" s="1"/>
    </row>
    <row r="254" spans="3:3" x14ac:dyDescent="0.4">
      <c r="C254" s="1"/>
    </row>
    <row r="255" spans="3:3" x14ac:dyDescent="0.4">
      <c r="C255" s="1"/>
    </row>
    <row r="256" spans="3:3" x14ac:dyDescent="0.4">
      <c r="C256" s="1"/>
    </row>
    <row r="257" spans="3:3" x14ac:dyDescent="0.4">
      <c r="C257" s="1"/>
    </row>
    <row r="258" spans="3:3" x14ac:dyDescent="0.4">
      <c r="C258" s="1"/>
    </row>
    <row r="259" spans="3:3" x14ac:dyDescent="0.4">
      <c r="C259" s="1"/>
    </row>
    <row r="260" spans="3:3" x14ac:dyDescent="0.4">
      <c r="C260" s="1"/>
    </row>
    <row r="261" spans="3:3" x14ac:dyDescent="0.4">
      <c r="C261" s="1"/>
    </row>
    <row r="262" spans="3:3" x14ac:dyDescent="0.4">
      <c r="C262" s="1"/>
    </row>
    <row r="263" spans="3:3" x14ac:dyDescent="0.4">
      <c r="C263" s="1"/>
    </row>
    <row r="264" spans="3:3" x14ac:dyDescent="0.4">
      <c r="C264" s="1"/>
    </row>
    <row r="265" spans="3:3" x14ac:dyDescent="0.4">
      <c r="C265" s="1"/>
    </row>
    <row r="266" spans="3:3" x14ac:dyDescent="0.4">
      <c r="C266" s="1"/>
    </row>
    <row r="267" spans="3:3" x14ac:dyDescent="0.4">
      <c r="C267" s="1"/>
    </row>
    <row r="268" spans="3:3" x14ac:dyDescent="0.4">
      <c r="C268" s="1"/>
    </row>
    <row r="269" spans="3:3" x14ac:dyDescent="0.4">
      <c r="C269" s="1"/>
    </row>
    <row r="270" spans="3:3" x14ac:dyDescent="0.4">
      <c r="C270" s="1"/>
    </row>
    <row r="271" spans="3:3" x14ac:dyDescent="0.4">
      <c r="C271" s="1"/>
    </row>
    <row r="272" spans="3:3" x14ac:dyDescent="0.4">
      <c r="C272" s="1"/>
    </row>
    <row r="273" spans="3:3" x14ac:dyDescent="0.4">
      <c r="C273" s="1"/>
    </row>
    <row r="274" spans="3:3" x14ac:dyDescent="0.4">
      <c r="C274" s="1"/>
    </row>
    <row r="275" spans="3:3" x14ac:dyDescent="0.4">
      <c r="C275" s="1"/>
    </row>
    <row r="276" spans="3:3" x14ac:dyDescent="0.4">
      <c r="C276" s="1"/>
    </row>
    <row r="277" spans="3:3" x14ac:dyDescent="0.4">
      <c r="C277" s="1"/>
    </row>
  </sheetData>
  <mergeCells count="2">
    <mergeCell ref="G109:J112"/>
    <mergeCell ref="C31:F32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8CD3-2E74-4A1F-A751-C33E142909F4}">
  <dimension ref="E3"/>
  <sheetViews>
    <sheetView topLeftCell="A7" workbookViewId="0">
      <selection activeCell="C28" sqref="C28"/>
    </sheetView>
  </sheetViews>
  <sheetFormatPr defaultRowHeight="12.3" x14ac:dyDescent="0.4"/>
  <sheetData>
    <row r="3" spans="5:5" ht="22.2" x14ac:dyDescent="0.7">
      <c r="E3" s="22" t="s">
        <v>12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6</vt:i4>
      </vt:variant>
    </vt:vector>
  </HeadingPairs>
  <TitlesOfParts>
    <vt:vector size="10" baseType="lpstr">
      <vt:lpstr>First_par</vt:lpstr>
      <vt:lpstr>Second_par</vt:lpstr>
      <vt:lpstr>Sum_to_zero</vt:lpstr>
      <vt:lpstr>Testo_esercizio</vt:lpstr>
      <vt:lpstr>Second_par!x</vt:lpstr>
      <vt:lpstr>Sum_to_zero!x</vt:lpstr>
      <vt:lpstr>x</vt:lpstr>
      <vt:lpstr>Second_par!Y</vt:lpstr>
      <vt:lpstr>Sum_to_zero!Y</vt:lpstr>
      <vt:lpstr>Y</vt:lpstr>
    </vt:vector>
  </TitlesOfParts>
  <Company>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RIANI</cp:lastModifiedBy>
  <dcterms:created xsi:type="dcterms:W3CDTF">2006-03-19T07:27:06Z</dcterms:created>
  <dcterms:modified xsi:type="dcterms:W3CDTF">2026-01-03T21:20:00Z</dcterms:modified>
</cp:coreProperties>
</file>
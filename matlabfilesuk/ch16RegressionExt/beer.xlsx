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books\DataScienceWithMatlab\matlabMfilesUK\ch16RegressionExt\"/>
    </mc:Choice>
  </mc:AlternateContent>
  <xr:revisionPtr revIDLastSave="0" documentId="13_ncr:1_{29BB1591-10FF-496B-81CE-830FDA3E0FC1}" xr6:coauthVersionLast="47" xr6:coauthVersionMax="47" xr10:uidLastSave="{00000000-0000-0000-0000-000000000000}"/>
  <bookViews>
    <workbookView xWindow="-96" yWindow="-96" windowWidth="23232" windowHeight="12432" activeTab="2" xr2:uid="{BCEF6F02-0A8C-4139-992C-1CF132A8A4D1}"/>
  </bookViews>
  <sheets>
    <sheet name="testo esame" sheetId="2" r:id="rId1"/>
    <sheet name="Grafico1" sheetId="3" r:id="rId2"/>
    <sheet name="data"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1" l="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J31" i="1"/>
  <c r="J30" i="1"/>
  <c r="J29" i="1"/>
  <c r="E98" i="1" s="1"/>
  <c r="J28" i="1"/>
  <c r="J27" i="1"/>
  <c r="J26" i="1"/>
  <c r="E95" i="1" s="1"/>
  <c r="J25" i="1"/>
  <c r="J24" i="1"/>
  <c r="J23" i="1"/>
  <c r="E92" i="1" s="1"/>
  <c r="J22" i="1"/>
  <c r="E91" i="1" s="1"/>
  <c r="J21" i="1"/>
  <c r="E90" i="1" s="1"/>
  <c r="J20" i="1"/>
  <c r="E89" i="1" s="1"/>
  <c r="J19" i="1"/>
  <c r="E88" i="1" s="1"/>
  <c r="J18" i="1"/>
  <c r="E87" i="1" s="1"/>
  <c r="J17" i="1"/>
  <c r="E86" i="1" s="1"/>
  <c r="J16" i="1"/>
  <c r="J15" i="1"/>
  <c r="E84" i="1" s="1"/>
  <c r="J14" i="1"/>
  <c r="J13" i="1"/>
  <c r="J12" i="1"/>
  <c r="E81" i="1" s="1"/>
  <c r="J11" i="1"/>
  <c r="J10" i="1"/>
  <c r="E79" i="1" s="1"/>
  <c r="J9" i="1"/>
  <c r="J8" i="1"/>
  <c r="E77" i="1" s="1"/>
  <c r="J7" i="1"/>
  <c r="E76" i="1" s="1"/>
  <c r="J6" i="1"/>
  <c r="J5" i="1"/>
  <c r="E74" i="1" s="1"/>
  <c r="J4" i="1"/>
  <c r="E73" i="1" s="1"/>
  <c r="J3" i="1"/>
  <c r="J2" i="1"/>
  <c r="C55" i="1" s="1" a="1"/>
  <c r="C70" i="1"/>
  <c r="E70" i="1"/>
  <c r="F70" i="1"/>
  <c r="G70" i="1"/>
  <c r="B71" i="1"/>
  <c r="C71" i="1"/>
  <c r="F71" i="1"/>
  <c r="G71" i="1"/>
  <c r="B72" i="1"/>
  <c r="C72" i="1"/>
  <c r="C101" i="1"/>
  <c r="F72" i="1"/>
  <c r="G72" i="1"/>
  <c r="B73" i="1"/>
  <c r="C73" i="1"/>
  <c r="F73" i="1"/>
  <c r="G73" i="1"/>
  <c r="B74" i="1"/>
  <c r="C74" i="1"/>
  <c r="F74" i="1"/>
  <c r="G74" i="1"/>
  <c r="B75" i="1"/>
  <c r="C75" i="1"/>
  <c r="E75" i="1"/>
  <c r="F75" i="1"/>
  <c r="G75" i="1"/>
  <c r="B76" i="1"/>
  <c r="C76" i="1"/>
  <c r="F76" i="1"/>
  <c r="G76" i="1"/>
  <c r="B77" i="1"/>
  <c r="C77" i="1"/>
  <c r="F77" i="1"/>
  <c r="G77" i="1"/>
  <c r="B78" i="1"/>
  <c r="C78" i="1"/>
  <c r="F78" i="1"/>
  <c r="G78" i="1"/>
  <c r="B79" i="1"/>
  <c r="C79" i="1"/>
  <c r="F79" i="1"/>
  <c r="G79" i="1"/>
  <c r="B80" i="1"/>
  <c r="C80" i="1"/>
  <c r="F80" i="1"/>
  <c r="G80" i="1"/>
  <c r="B81" i="1"/>
  <c r="C81" i="1"/>
  <c r="F81" i="1"/>
  <c r="G81" i="1"/>
  <c r="B82" i="1"/>
  <c r="C82" i="1"/>
  <c r="F82" i="1"/>
  <c r="G82" i="1"/>
  <c r="B83" i="1"/>
  <c r="C83" i="1"/>
  <c r="E83" i="1"/>
  <c r="F83" i="1"/>
  <c r="G83" i="1"/>
  <c r="B84" i="1"/>
  <c r="C84" i="1"/>
  <c r="F84" i="1"/>
  <c r="G84" i="1"/>
  <c r="B85" i="1"/>
  <c r="C85" i="1"/>
  <c r="E85" i="1"/>
  <c r="F85" i="1"/>
  <c r="G85" i="1"/>
  <c r="B86" i="1"/>
  <c r="C86" i="1"/>
  <c r="F86" i="1"/>
  <c r="G86" i="1"/>
  <c r="B87" i="1"/>
  <c r="C87" i="1"/>
  <c r="F87" i="1"/>
  <c r="G87" i="1"/>
  <c r="B88" i="1"/>
  <c r="C88" i="1"/>
  <c r="F88" i="1"/>
  <c r="G88" i="1"/>
  <c r="B89" i="1"/>
  <c r="C89" i="1"/>
  <c r="F89" i="1"/>
  <c r="G89" i="1"/>
  <c r="B90" i="1"/>
  <c r="C90" i="1"/>
  <c r="F90" i="1"/>
  <c r="G90" i="1"/>
  <c r="B91" i="1"/>
  <c r="C91" i="1"/>
  <c r="F91" i="1"/>
  <c r="G91" i="1"/>
  <c r="B92" i="1"/>
  <c r="C92" i="1"/>
  <c r="F92" i="1"/>
  <c r="G92" i="1"/>
  <c r="B93" i="1"/>
  <c r="C93" i="1"/>
  <c r="E93" i="1"/>
  <c r="F93" i="1"/>
  <c r="G93" i="1"/>
  <c r="B94" i="1"/>
  <c r="C94" i="1"/>
  <c r="E94" i="1"/>
  <c r="F94" i="1"/>
  <c r="G94" i="1"/>
  <c r="B95" i="1"/>
  <c r="C95" i="1"/>
  <c r="F95" i="1"/>
  <c r="G95" i="1"/>
  <c r="B96" i="1"/>
  <c r="C96" i="1"/>
  <c r="E96" i="1"/>
  <c r="F96" i="1"/>
  <c r="G96" i="1"/>
  <c r="B97" i="1"/>
  <c r="C97" i="1"/>
  <c r="F97" i="1"/>
  <c r="G97" i="1"/>
  <c r="B98" i="1"/>
  <c r="C98" i="1"/>
  <c r="F98" i="1"/>
  <c r="G98" i="1"/>
  <c r="B99" i="1"/>
  <c r="C99" i="1"/>
  <c r="F99" i="1"/>
  <c r="G99" i="1"/>
  <c r="B100" i="1"/>
  <c r="C100" i="1"/>
  <c r="F100" i="1"/>
  <c r="G100" i="1"/>
  <c r="E72" i="1"/>
  <c r="E78" i="1"/>
  <c r="E80" i="1"/>
  <c r="E82" i="1"/>
  <c r="E97" i="1"/>
  <c r="E99" i="1"/>
  <c r="E100" i="1"/>
  <c r="E71" i="1"/>
  <c r="C34" i="1" l="1" a="1"/>
  <c r="F38" i="1" s="1"/>
  <c r="C58" i="1"/>
  <c r="C57" i="1"/>
  <c r="D58" i="1"/>
  <c r="C55" i="1"/>
  <c r="C59" i="1"/>
  <c r="C56" i="1"/>
  <c r="D55" i="1"/>
  <c r="D59" i="1"/>
  <c r="D56" i="1"/>
  <c r="D57" i="1"/>
  <c r="C44" i="1" a="1"/>
  <c r="F34" i="1" l="1"/>
  <c r="C37" i="1"/>
  <c r="G36" i="1"/>
  <c r="C34" i="1"/>
  <c r="F36" i="1"/>
  <c r="G34" i="1"/>
  <c r="C35" i="1"/>
  <c r="G38" i="1"/>
  <c r="E36" i="1"/>
  <c r="D34" i="1"/>
  <c r="F37" i="1"/>
  <c r="E34" i="1"/>
  <c r="D36" i="1"/>
  <c r="C38" i="1"/>
  <c r="C36" i="1"/>
  <c r="E38" i="1"/>
  <c r="G35" i="1"/>
  <c r="D38" i="1"/>
  <c r="G37" i="1"/>
  <c r="E37" i="1"/>
  <c r="E35" i="1"/>
  <c r="D37" i="1"/>
  <c r="F35" i="1"/>
  <c r="D35" i="1"/>
  <c r="C46" i="1"/>
  <c r="E48" i="1"/>
  <c r="D46" i="1"/>
  <c r="F48" i="1"/>
  <c r="D47" i="1"/>
  <c r="E47" i="1"/>
  <c r="E44" i="1"/>
  <c r="F46" i="1"/>
  <c r="E46" i="1"/>
  <c r="D44" i="1"/>
  <c r="D45" i="1"/>
  <c r="C48" i="1"/>
  <c r="C44" i="1"/>
  <c r="C45" i="1"/>
  <c r="F44" i="1"/>
  <c r="F45" i="1"/>
  <c r="C47" i="1"/>
  <c r="D48" i="1"/>
  <c r="C63" i="1" s="1"/>
  <c r="F47" i="1"/>
  <c r="E45" i="1"/>
  <c r="C40" i="1"/>
  <c r="C41" i="1" l="1"/>
  <c r="E40" i="1"/>
  <c r="E41" i="1" s="1"/>
  <c r="G40" i="1"/>
  <c r="G41" i="1" s="1"/>
  <c r="D40" i="1"/>
  <c r="D41" i="1" s="1"/>
  <c r="F40" i="1"/>
  <c r="F41" i="1" s="1"/>
  <c r="F62" i="1"/>
  <c r="F50" i="1"/>
  <c r="F51" i="1" s="1"/>
  <c r="C50" i="1"/>
  <c r="C51" i="1" s="1"/>
  <c r="F65" i="1"/>
  <c r="D50" i="1"/>
  <c r="D51" i="1" s="1"/>
  <c r="F64" i="1"/>
  <c r="F63" i="1"/>
  <c r="E50" i="1"/>
  <c r="E51" i="1" s="1"/>
  <c r="C61" i="1"/>
  <c r="C65" i="1" s="1"/>
  <c r="C67" i="1" s="1"/>
  <c r="H107" i="1" l="1"/>
  <c r="H71" i="1" a="1"/>
  <c r="H87" i="1" l="1"/>
  <c r="I87" i="1" s="1"/>
  <c r="H91" i="1"/>
  <c r="I91" i="1" s="1"/>
  <c r="H78" i="1"/>
  <c r="I78" i="1" s="1"/>
  <c r="H72" i="1"/>
  <c r="I72" i="1" s="1"/>
  <c r="H90" i="1"/>
  <c r="I90" i="1" s="1"/>
  <c r="H92" i="1"/>
  <c r="I92" i="1" s="1"/>
  <c r="H73" i="1"/>
  <c r="I73" i="1" s="1"/>
  <c r="H95" i="1"/>
  <c r="I95" i="1" s="1"/>
  <c r="H98" i="1"/>
  <c r="I98" i="1" s="1"/>
  <c r="H82" i="1"/>
  <c r="I82" i="1" s="1"/>
  <c r="H81" i="1"/>
  <c r="I81" i="1" s="1"/>
  <c r="H75" i="1"/>
  <c r="I75" i="1" s="1"/>
  <c r="H83" i="1"/>
  <c r="I83" i="1" s="1"/>
  <c r="H86" i="1"/>
  <c r="I86" i="1" s="1"/>
  <c r="H79" i="1"/>
  <c r="I79" i="1" s="1"/>
  <c r="H97" i="1"/>
  <c r="I97" i="1" s="1"/>
  <c r="H89" i="1"/>
  <c r="I89" i="1" s="1"/>
  <c r="H76" i="1"/>
  <c r="I76" i="1" s="1"/>
  <c r="H93" i="1"/>
  <c r="I93" i="1" s="1"/>
  <c r="H94" i="1"/>
  <c r="I94" i="1" s="1"/>
  <c r="H99" i="1"/>
  <c r="I99" i="1" s="1"/>
  <c r="H71" i="1"/>
  <c r="H74" i="1"/>
  <c r="I74" i="1" s="1"/>
  <c r="H80" i="1"/>
  <c r="I80" i="1" s="1"/>
  <c r="H85" i="1"/>
  <c r="I85" i="1" s="1"/>
  <c r="H96" i="1"/>
  <c r="I96" i="1" s="1"/>
  <c r="H88" i="1"/>
  <c r="I88" i="1" s="1"/>
  <c r="H77" i="1"/>
  <c r="I77" i="1" s="1"/>
  <c r="H84" i="1"/>
  <c r="I84" i="1" s="1"/>
  <c r="H100" i="1"/>
  <c r="I100" i="1" s="1"/>
  <c r="I71" i="1" l="1"/>
  <c r="I101" i="1" s="1"/>
  <c r="H1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fabri</author>
    <author xml:space="preserve"> </author>
  </authors>
  <commentList>
    <comment ref="J2" authorId="0" shapeId="0" xr:uid="{8B84D997-CCEE-4124-B7F6-4829285602B0}">
      <text>
        <r>
          <rPr>
            <b/>
            <sz val="11"/>
            <color indexed="8"/>
            <rFont val="Tahoma"/>
            <family val="2"/>
          </rPr>
          <t>=SE(D2="feriale";1;0)</t>
        </r>
      </text>
    </comment>
    <comment ref="M2" authorId="0" shapeId="0" xr:uid="{5C1F3440-FF0D-451C-88F1-86441EB54750}">
      <text>
        <r>
          <rPr>
            <b/>
            <sz val="11"/>
            <color indexed="8"/>
            <rFont val="Tahoma"/>
            <family val="2"/>
          </rPr>
          <t>=SE(F2="periferia";1;0)</t>
        </r>
      </text>
    </comment>
    <comment ref="C34" authorId="0" shapeId="0" xr:uid="{012060D9-AC5A-40CC-8DA1-4D0FAE2EE9F1}">
      <text>
        <r>
          <rPr>
            <b/>
            <sz val="11"/>
            <color indexed="8"/>
            <rFont val="Tahoma"/>
            <family val="2"/>
          </rPr>
          <t>=REGR.LIN(I2:I31;J2:M31;1;1)</t>
        </r>
      </text>
    </comment>
    <comment ref="C40" authorId="0" shapeId="0" xr:uid="{39F396F1-47B8-4BE1-8209-C4A9FE29A03A}">
      <text>
        <r>
          <rPr>
            <b/>
            <sz val="11"/>
            <color indexed="8"/>
            <rFont val="Tahoma"/>
            <family val="2"/>
          </rPr>
          <t>=C34/C35</t>
        </r>
      </text>
    </comment>
    <comment ref="C41" authorId="0" shapeId="0" xr:uid="{A9B1C2F1-75DD-44BA-8880-CF226D3ACB1C}">
      <text>
        <r>
          <rPr>
            <b/>
            <sz val="11"/>
            <color indexed="8"/>
            <rFont val="Tahoma"/>
            <family val="2"/>
          </rPr>
          <t>=DISTRIB.T.2T(ASS(C40);$D37)</t>
        </r>
      </text>
    </comment>
    <comment ref="C44" authorId="0" shapeId="0" xr:uid="{09FA5CAC-9859-4FBB-8010-54E0F04BF7B5}">
      <text>
        <r>
          <rPr>
            <b/>
            <sz val="11"/>
            <color indexed="8"/>
            <rFont val="Tahoma"/>
            <family val="2"/>
          </rPr>
          <t>=REGR.LIN(I2:I31;J2:L31;1;1)</t>
        </r>
      </text>
    </comment>
    <comment ref="C50" authorId="0" shapeId="0" xr:uid="{7FAC8A6B-0829-4618-B2AE-812B68ADD17D}">
      <text>
        <r>
          <rPr>
            <b/>
            <sz val="11"/>
            <color indexed="8"/>
            <rFont val="Tahoma"/>
            <family val="2"/>
          </rPr>
          <t>=C44/C45</t>
        </r>
      </text>
    </comment>
    <comment ref="C51" authorId="0" shapeId="0" xr:uid="{4FAB58B9-AF0C-4AEE-A602-8EF5620E8FB2}">
      <text>
        <r>
          <rPr>
            <b/>
            <sz val="11"/>
            <color indexed="8"/>
            <rFont val="Tahoma"/>
            <family val="2"/>
          </rPr>
          <t>=DISTRIB.T.2T(ASS(C50);$D47)</t>
        </r>
      </text>
    </comment>
    <comment ref="C55" authorId="0" shapeId="0" xr:uid="{916469CD-1840-4ADF-BA54-6B3F12B0CE2B}">
      <text>
        <r>
          <rPr>
            <b/>
            <sz val="11"/>
            <color indexed="8"/>
            <rFont val="Tahoma"/>
            <family val="2"/>
          </rPr>
          <t>=REGR.LIN(I2:I31;J2:J31;1;1)</t>
        </r>
      </text>
    </comment>
    <comment ref="C61" authorId="0" shapeId="0" xr:uid="{2EB8661C-0A00-49E3-B763-C1190E7B15F7}">
      <text>
        <r>
          <rPr>
            <b/>
            <sz val="11"/>
            <color indexed="8"/>
            <rFont val="Tahoma"/>
            <family val="2"/>
          </rPr>
          <t>=(D59-D48)/(D58-D47)</t>
        </r>
      </text>
    </comment>
    <comment ref="F62" authorId="0" shapeId="0" xr:uid="{60060E80-D2D2-4687-961C-0B678F6745BC}">
      <text>
        <r>
          <rPr>
            <b/>
            <sz val="11"/>
            <color indexed="8"/>
            <rFont val="Tahoma"/>
            <family val="2"/>
          </rPr>
          <t>=INDICE(C$44:F$44;1;E62)</t>
        </r>
      </text>
    </comment>
    <comment ref="C63" authorId="0" shapeId="0" xr:uid="{D5F48BF2-4145-4031-BD9B-57E27375A7E9}">
      <text>
        <r>
          <rPr>
            <b/>
            <sz val="11"/>
            <color indexed="8"/>
            <rFont val="Tahoma"/>
            <family val="2"/>
          </rPr>
          <t>=D48/D47</t>
        </r>
      </text>
    </comment>
    <comment ref="C65" authorId="0" shapeId="0" xr:uid="{B5BFE3AE-5E22-430D-8787-ECDE8DE36F52}">
      <text>
        <r>
          <rPr>
            <b/>
            <sz val="11"/>
            <color indexed="8"/>
            <rFont val="Tahoma"/>
            <family val="2"/>
          </rPr>
          <t>=C61/C63</t>
        </r>
      </text>
    </comment>
    <comment ref="C67" authorId="0" shapeId="0" xr:uid="{B455C77B-ADE3-48B3-8059-3F0B21D6F20E}">
      <text>
        <r>
          <rPr>
            <b/>
            <sz val="11"/>
            <color indexed="8"/>
            <rFont val="Tahoma"/>
            <family val="2"/>
          </rPr>
          <t>=DISTRIB.F.DS(C65;(D58-D47);D47)</t>
        </r>
      </text>
    </comment>
    <comment ref="H71" authorId="0" shapeId="0" xr:uid="{8D7D0DC1-4E7A-415D-AF3E-6DE184B9216B}">
      <text>
        <r>
          <rPr>
            <b/>
            <sz val="11"/>
            <color indexed="8"/>
            <rFont val="Tahoma"/>
            <family val="2"/>
          </rPr>
          <t>=MATR.PRODOTTO(D71:G100;F62:F65)</t>
        </r>
      </text>
    </comment>
    <comment ref="I71" authorId="0" shapeId="0" xr:uid="{87BFD96E-3E1C-4FBB-8284-284B4D072262}">
      <text>
        <r>
          <rPr>
            <b/>
            <sz val="11"/>
            <color indexed="8"/>
            <rFont val="Tahoma"/>
            <family val="2"/>
          </rPr>
          <t>=C71-H71</t>
        </r>
      </text>
    </comment>
    <comment ref="I101" authorId="1" shapeId="0" xr:uid="{53BCED49-B830-4605-A0EF-82001D91D3BF}">
      <text>
        <r>
          <rPr>
            <sz val="10"/>
            <color indexed="8"/>
            <rFont val="Tahoma"/>
            <family val="2"/>
          </rPr>
          <t xml:space="preserve">
</t>
        </r>
        <r>
          <rPr>
            <sz val="10"/>
            <color indexed="8"/>
            <rFont val="Tahoma"/>
            <family val="2"/>
          </rPr>
          <t>Verifico che la somma dei residui sia uguale a 0</t>
        </r>
      </text>
    </comment>
    <comment ref="H107" authorId="0" shapeId="0" xr:uid="{B40955A4-03A5-498F-AD44-9DA9CC937FA0}">
      <text>
        <r>
          <rPr>
            <b/>
            <sz val="11"/>
            <color indexed="8"/>
            <rFont val="Tahoma"/>
            <family val="2"/>
          </rPr>
          <t>=MATR.PRODOTTO(D107:G107;F62:F65)</t>
        </r>
      </text>
    </comment>
  </commentList>
</comments>
</file>

<file path=xl/sharedStrings.xml><?xml version="1.0" encoding="utf-8"?>
<sst xmlns="http://schemas.openxmlformats.org/spreadsheetml/2006/main" count="170" uniqueCount="95">
  <si>
    <t>Litri birra</t>
  </si>
  <si>
    <t>Numero spine</t>
  </si>
  <si>
    <t>Dimensione (M^2)</t>
  </si>
  <si>
    <t>Giorno settimana</t>
  </si>
  <si>
    <t>Ubicazione</t>
  </si>
  <si>
    <t>Negozio 2</t>
  </si>
  <si>
    <t>Negozio 3</t>
  </si>
  <si>
    <t>Negozio 4</t>
  </si>
  <si>
    <t>Negozio 5</t>
  </si>
  <si>
    <t>Negozio 6</t>
  </si>
  <si>
    <t>Negozio 7</t>
  </si>
  <si>
    <t>Negozio 8</t>
  </si>
  <si>
    <t>Negozio 9</t>
  </si>
  <si>
    <t>Negozio 10</t>
  </si>
  <si>
    <t>Negozio 11</t>
  </si>
  <si>
    <t>Negozio 12</t>
  </si>
  <si>
    <t>Negozio 13</t>
  </si>
  <si>
    <t>Negozio 14</t>
  </si>
  <si>
    <t>Negozio 15</t>
  </si>
  <si>
    <t>Negozio 16</t>
  </si>
  <si>
    <t>Negozio 17</t>
  </si>
  <si>
    <t>Negozio 18</t>
  </si>
  <si>
    <t>Negozio 19</t>
  </si>
  <si>
    <t>Negozio 20</t>
  </si>
  <si>
    <t>Negozio 21</t>
  </si>
  <si>
    <t>Negozio 22</t>
  </si>
  <si>
    <t>Negozio 23</t>
  </si>
  <si>
    <t>Negozio 24</t>
  </si>
  <si>
    <t>Negozio 25</t>
  </si>
  <si>
    <t>Negozio 26</t>
  </si>
  <si>
    <t>Negozio 27</t>
  </si>
  <si>
    <t>Negozio 28</t>
  </si>
  <si>
    <t>Negozio 29</t>
  </si>
  <si>
    <t>Negozio 30</t>
  </si>
  <si>
    <t>intercetta</t>
  </si>
  <si>
    <t>Giorno sett</t>
  </si>
  <si>
    <t>Dimensione</t>
  </si>
  <si>
    <t>stat-t</t>
  </si>
  <si>
    <t>p-values</t>
  </si>
  <si>
    <t>Modello ridotto</t>
  </si>
  <si>
    <t>NumF</t>
  </si>
  <si>
    <t>DenF</t>
  </si>
  <si>
    <t>F</t>
  </si>
  <si>
    <t>Intercetta</t>
  </si>
  <si>
    <t>beta cappello</t>
  </si>
  <si>
    <t>valori previsti</t>
  </si>
  <si>
    <t>Residui</t>
  </si>
  <si>
    <t>Q1) Stimare tramite la funzione REGR.LIN i parametri del modello di regressione in cui la variabile dipendente è data dal volume di litri venduti e le variabili esplicative sono: "Dimensione M^2" "Numero spine", "Giorno settimana", "ubicazione"</t>
  </si>
  <si>
    <t>Q2) Rimuovere tutte le variabili esplicative non significative al 5% riadattando il modello.</t>
  </si>
  <si>
    <t>Viene rimossa l'ubicazione poiché non significativa</t>
  </si>
  <si>
    <t>Q3) Nel nuovo modello testare l'ipotesi nulla congiunta che il coefficiente legato al numero di spine ed il coefficiente legato alla dimensione siano uguali a zero, utilizzando un livello di significatività del 0.01% e commentare il risultato ottenuto.</t>
  </si>
  <si>
    <t>Implemento il test F confrontando le somme dei quadrati dei residui del modello ridotto e di quello completo</t>
  </si>
  <si>
    <t>Calcolo dei valori previsti del modello</t>
  </si>
  <si>
    <t>p-value</t>
  </si>
  <si>
    <t>Litri di birra</t>
  </si>
  <si>
    <t>weekday</t>
  </si>
  <si>
    <t>holiday</t>
  </si>
  <si>
    <t>Prevedere le vendite stimate in base al modello durante un giorno holiday sapendo che il negozio ha dimensione pari a 2000 M^2 ed un numero di spine pari a 5.</t>
  </si>
  <si>
    <t>Liters of beer</t>
  </si>
  <si>
    <t>Number of taps</t>
  </si>
  <si>
    <t>Day of the week</t>
  </si>
  <si>
    <t>Location</t>
  </si>
  <si>
    <t>Shop 1</t>
  </si>
  <si>
    <t>Shop 2</t>
  </si>
  <si>
    <t>Shop 3</t>
  </si>
  <si>
    <t>Shop 4</t>
  </si>
  <si>
    <t>Shop 5</t>
  </si>
  <si>
    <t>Shop 6</t>
  </si>
  <si>
    <t>Shop 7</t>
  </si>
  <si>
    <t>Shop 8</t>
  </si>
  <si>
    <t>Shop 9</t>
  </si>
  <si>
    <t>Shop 10</t>
  </si>
  <si>
    <t>Shop 11</t>
  </si>
  <si>
    <t>Shop 12</t>
  </si>
  <si>
    <t>Shop 13</t>
  </si>
  <si>
    <t>Shop 14</t>
  </si>
  <si>
    <t>Shop 15</t>
  </si>
  <si>
    <t>Shop 16</t>
  </si>
  <si>
    <t>Shop 17</t>
  </si>
  <si>
    <t>Shop 18</t>
  </si>
  <si>
    <t>Shop 19</t>
  </si>
  <si>
    <t>Shop 20</t>
  </si>
  <si>
    <t>Shop 21</t>
  </si>
  <si>
    <t>Shop 22</t>
  </si>
  <si>
    <t>Shop 23</t>
  </si>
  <si>
    <t>Shop 24</t>
  </si>
  <si>
    <t>Shop 25</t>
  </si>
  <si>
    <t>Shop 26</t>
  </si>
  <si>
    <t>Shop 27</t>
  </si>
  <si>
    <t>Shop 28</t>
  </si>
  <si>
    <t>Shop 29</t>
  </si>
  <si>
    <t>Shop 30</t>
  </si>
  <si>
    <t>Size (m^2)</t>
  </si>
  <si>
    <t>centre</t>
  </si>
  <si>
    <t>outskirt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</si>
</sst>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8"/>
      <name val="Arial"/>
      <family val="2"/>
    </font>
    <font>
      <sz val="14"/>
      <name val="Arial"/>
      <family val="2"/>
    </font>
    <font>
      <b/>
      <sz val="11"/>
      <color indexed="8"/>
      <name val="Tahoma"/>
      <family val="2"/>
    </font>
    <font>
      <sz val="10"/>
      <color indexed="8"/>
      <name val="Tahoma"/>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 fontId="0" fillId="0" borderId="0" xfId="0" applyNumberFormat="1"/>
    <xf numFmtId="2" fontId="0" fillId="0" borderId="0" xfId="0" applyNumberFormat="1"/>
    <xf numFmtId="0" fontId="2" fillId="0" borderId="0" xfId="0" applyFont="1"/>
    <xf numFmtId="1" fontId="0" fillId="0" borderId="0" xfId="0" applyNumberFormat="1" applyAlignment="1">
      <alignment vertical="top" wrapText="1"/>
    </xf>
    <xf numFmtId="0" fontId="0" fillId="0" borderId="0" xfId="0" applyAlignment="1">
      <alignment vertical="top" wrapText="1"/>
    </xf>
    <xf numFmtId="1" fontId="5" fillId="0" borderId="0" xfId="0" applyNumberFormat="1" applyFont="1" applyAlignment="1">
      <alignment vertical="top" wrapText="1"/>
    </xf>
    <xf numFmtId="0" fontId="5"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551724137931033E-2"/>
          <c:y val="4.2986425339366516E-2"/>
          <c:w val="0.8703448275862069"/>
          <c:h val="0.81447963800904977"/>
        </c:manualLayout>
      </c:layout>
      <c:scatterChart>
        <c:scatterStyle val="lineMarker"/>
        <c:varyColors val="0"/>
        <c:ser>
          <c:idx val="0"/>
          <c:order val="0"/>
          <c:spPr>
            <a:ln w="38100">
              <a:noFill/>
            </a:ln>
          </c:spPr>
          <c:marker>
            <c:symbol val="circle"/>
            <c:size val="15"/>
            <c:spPr>
              <a:solidFill>
                <a:srgbClr val="000080"/>
              </a:solidFill>
              <a:ln>
                <a:solidFill>
                  <a:srgbClr val="000080"/>
                </a:solidFill>
                <a:prstDash val="solid"/>
              </a:ln>
            </c:spPr>
          </c:marker>
          <c:xVal>
            <c:numRef>
              <c:f>data!$H$71:$H$100</c:f>
              <c:numCache>
                <c:formatCode>General</c:formatCode>
                <c:ptCount val="30"/>
                <c:pt idx="0">
                  <c:v>4035.1379427736815</c:v>
                </c:pt>
                <c:pt idx="1">
                  <c:v>5166.7691173092317</c:v>
                </c:pt>
                <c:pt idx="2">
                  <c:v>3765.899123933601</c:v>
                </c:pt>
                <c:pt idx="3">
                  <c:v>7345.4151441373879</c:v>
                </c:pt>
                <c:pt idx="4">
                  <c:v>5352.1834047022339</c:v>
                </c:pt>
                <c:pt idx="5">
                  <c:v>3971.4777533925053</c:v>
                </c:pt>
                <c:pt idx="6">
                  <c:v>5818.8083535911401</c:v>
                </c:pt>
                <c:pt idx="7">
                  <c:v>5983.4547380234962</c:v>
                </c:pt>
                <c:pt idx="8">
                  <c:v>5756.4299653543267</c:v>
                </c:pt>
                <c:pt idx="9">
                  <c:v>4444.3860944729295</c:v>
                </c:pt>
                <c:pt idx="10">
                  <c:v>7004.2252119717268</c:v>
                </c:pt>
                <c:pt idx="11">
                  <c:v>5436.0079361493126</c:v>
                </c:pt>
                <c:pt idx="12">
                  <c:v>4086.9247140333609</c:v>
                </c:pt>
                <c:pt idx="13">
                  <c:v>1817.2805482364133</c:v>
                </c:pt>
                <c:pt idx="14">
                  <c:v>6545.4758560336059</c:v>
                </c:pt>
                <c:pt idx="15">
                  <c:v>4869.5887879867923</c:v>
                </c:pt>
                <c:pt idx="16">
                  <c:v>4932.155406124728</c:v>
                </c:pt>
                <c:pt idx="17">
                  <c:v>6499.2791107039029</c:v>
                </c:pt>
                <c:pt idx="18">
                  <c:v>6057.4047639344335</c:v>
                </c:pt>
                <c:pt idx="19">
                  <c:v>5805.0258282510849</c:v>
                </c:pt>
                <c:pt idx="20">
                  <c:v>6423.0435177721602</c:v>
                </c:pt>
                <c:pt idx="21">
                  <c:v>5984.3600793656133</c:v>
                </c:pt>
                <c:pt idx="22">
                  <c:v>5057.8922032953451</c:v>
                </c:pt>
                <c:pt idx="23">
                  <c:v>2110.9681887485576</c:v>
                </c:pt>
                <c:pt idx="24">
                  <c:v>5777.9896591108409</c:v>
                </c:pt>
                <c:pt idx="25">
                  <c:v>4834.9636803312151</c:v>
                </c:pt>
                <c:pt idx="26">
                  <c:v>4633.2930706762263</c:v>
                </c:pt>
                <c:pt idx="27">
                  <c:v>2858.1018137042965</c:v>
                </c:pt>
                <c:pt idx="28">
                  <c:v>4449.9761204029073</c:v>
                </c:pt>
                <c:pt idx="29">
                  <c:v>5495.0818654769537</c:v>
                </c:pt>
              </c:numCache>
            </c:numRef>
          </c:xVal>
          <c:yVal>
            <c:numRef>
              <c:f>data!$I$71:$I$100</c:f>
              <c:numCache>
                <c:formatCode>General</c:formatCode>
                <c:ptCount val="30"/>
                <c:pt idx="0">
                  <c:v>-35.137942773681516</c:v>
                </c:pt>
                <c:pt idx="1">
                  <c:v>-2.7691173092316603</c:v>
                </c:pt>
                <c:pt idx="2">
                  <c:v>19.100876066398996</c:v>
                </c:pt>
                <c:pt idx="3">
                  <c:v>-31.41514413738787</c:v>
                </c:pt>
                <c:pt idx="4">
                  <c:v>14.816595297766071</c:v>
                </c:pt>
                <c:pt idx="5">
                  <c:v>13.522246607494708</c:v>
                </c:pt>
                <c:pt idx="6">
                  <c:v>22.191646408859924</c:v>
                </c:pt>
                <c:pt idx="7">
                  <c:v>66.545261976503753</c:v>
                </c:pt>
                <c:pt idx="8">
                  <c:v>-39.429965354326669</c:v>
                </c:pt>
                <c:pt idx="9">
                  <c:v>58.613905527070528</c:v>
                </c:pt>
                <c:pt idx="10">
                  <c:v>-24.225211971726822</c:v>
                </c:pt>
                <c:pt idx="11">
                  <c:v>-44.007936149312627</c:v>
                </c:pt>
                <c:pt idx="12">
                  <c:v>-22.924714033360942</c:v>
                </c:pt>
                <c:pt idx="13">
                  <c:v>13.719451763586676</c:v>
                </c:pt>
                <c:pt idx="14">
                  <c:v>25.524143966394149</c:v>
                </c:pt>
                <c:pt idx="15">
                  <c:v>-3.5887879867923402</c:v>
                </c:pt>
                <c:pt idx="16">
                  <c:v>-32.155406124727961</c:v>
                </c:pt>
                <c:pt idx="17">
                  <c:v>-6.2791107039029157</c:v>
                </c:pt>
                <c:pt idx="18">
                  <c:v>67.595236065566496</c:v>
                </c:pt>
                <c:pt idx="19">
                  <c:v>23.974171748915069</c:v>
                </c:pt>
                <c:pt idx="20">
                  <c:v>-7.0435177721601576</c:v>
                </c:pt>
                <c:pt idx="21">
                  <c:v>-34.360079365613274</c:v>
                </c:pt>
                <c:pt idx="22">
                  <c:v>3.107796704654902</c:v>
                </c:pt>
                <c:pt idx="23">
                  <c:v>-73.968188748557623</c:v>
                </c:pt>
                <c:pt idx="24">
                  <c:v>-11.989659110840876</c:v>
                </c:pt>
                <c:pt idx="25">
                  <c:v>-26.963680331215073</c:v>
                </c:pt>
                <c:pt idx="26">
                  <c:v>51.706929323773693</c:v>
                </c:pt>
                <c:pt idx="27">
                  <c:v>47.898186295703454</c:v>
                </c:pt>
                <c:pt idx="28">
                  <c:v>9.0238795970926731</c:v>
                </c:pt>
                <c:pt idx="29">
                  <c:v>-41.081865476953681</c:v>
                </c:pt>
              </c:numCache>
            </c:numRef>
          </c:yVal>
          <c:smooth val="0"/>
          <c:extLst>
            <c:ext xmlns:c16="http://schemas.microsoft.com/office/drawing/2014/chart" uri="{C3380CC4-5D6E-409C-BE32-E72D297353CC}">
              <c16:uniqueId val="{00000000-B4DB-4A40-BF06-69524B18F5F9}"/>
            </c:ext>
          </c:extLst>
        </c:ser>
        <c:dLbls>
          <c:showLegendKey val="0"/>
          <c:showVal val="0"/>
          <c:showCatName val="0"/>
          <c:showSerName val="0"/>
          <c:showPercent val="0"/>
          <c:showBubbleSize val="0"/>
        </c:dLbls>
        <c:axId val="1677969440"/>
        <c:axId val="1"/>
      </c:scatterChart>
      <c:valAx>
        <c:axId val="1677969440"/>
        <c:scaling>
          <c:orientation val="minMax"/>
          <c:min val="1000"/>
        </c:scaling>
        <c:delete val="0"/>
        <c:axPos val="b"/>
        <c:title>
          <c:tx>
            <c:rich>
              <a:bodyPr/>
              <a:lstStyle/>
              <a:p>
                <a:pPr>
                  <a:defRPr sz="1800" b="1" i="0" u="none" strike="noStrike" baseline="0">
                    <a:solidFill>
                      <a:srgbClr val="000000"/>
                    </a:solidFill>
                    <a:latin typeface="Arial"/>
                    <a:ea typeface="Arial"/>
                    <a:cs typeface="Arial"/>
                  </a:defRPr>
                </a:pPr>
                <a:r>
                  <a:rPr lang="it-IT"/>
                  <a:t>Valori teorici</a:t>
                </a:r>
              </a:p>
            </c:rich>
          </c:tx>
          <c:layout>
            <c:manualLayout>
              <c:xMode val="edge"/>
              <c:yMode val="edge"/>
              <c:x val="0.46896552248642609"/>
              <c:y val="0.92533934031419762"/>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400" b="1" i="0" u="none" strike="noStrike" baseline="0">
                <a:solidFill>
                  <a:srgbClr val="000000"/>
                </a:solidFill>
                <a:latin typeface="Arial"/>
                <a:ea typeface="Arial"/>
                <a:cs typeface="Arial"/>
              </a:defRPr>
            </a:pPr>
            <a:endParaRPr lang="it-IT"/>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1800" b="1" i="0" u="none" strike="noStrike" baseline="0">
                    <a:solidFill>
                      <a:srgbClr val="000000"/>
                    </a:solidFill>
                    <a:latin typeface="Arial"/>
                    <a:ea typeface="Arial"/>
                    <a:cs typeface="Arial"/>
                  </a:defRPr>
                </a:pPr>
                <a:r>
                  <a:rPr lang="it-IT"/>
                  <a:t>Residui</a:t>
                </a:r>
              </a:p>
            </c:rich>
          </c:tx>
          <c:layout>
            <c:manualLayout>
              <c:xMode val="edge"/>
              <c:yMode val="edge"/>
              <c:x val="1.2413834464388967E-2"/>
              <c:y val="0.3868778018526592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600" b="1" i="0" u="none" strike="noStrike" baseline="0">
                <a:solidFill>
                  <a:srgbClr val="000000"/>
                </a:solidFill>
                <a:latin typeface="Arial"/>
                <a:ea typeface="Arial"/>
                <a:cs typeface="Arial"/>
              </a:defRPr>
            </a:pPr>
            <a:endParaRPr lang="it-IT"/>
          </a:p>
        </c:txPr>
        <c:crossAx val="1677969440"/>
        <c:crosses val="autoZero"/>
        <c:crossBetween val="midCat"/>
      </c:valAx>
      <c:spPr>
        <a:noFill/>
        <a:ln w="12700">
          <a:solidFill>
            <a:srgbClr val="808080"/>
          </a:solidFill>
          <a:prstDash val="solid"/>
        </a:ln>
      </c:spPr>
    </c:plotArea>
    <c:plotVisOnly val="1"/>
    <c:dispBlanksAs val="gap"/>
    <c:showDLblsOverMax val="0"/>
  </c:chart>
  <c:spPr>
    <a:noFill/>
    <a:ln w="12700">
      <a:noFill/>
    </a:ln>
  </c:spPr>
  <c:txPr>
    <a:bodyPr/>
    <a:lstStyle/>
    <a:p>
      <a:pPr>
        <a:defRPr sz="975" b="0" i="0" u="none" strike="noStrike" baseline="0">
          <a:solidFill>
            <a:srgbClr val="000000"/>
          </a:solidFill>
          <a:latin typeface="Arial"/>
          <a:ea typeface="Arial"/>
          <a:cs typeface="Arial"/>
        </a:defRPr>
      </a:pPr>
      <a:endParaRPr lang="it-IT"/>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1EDB949-98FB-4568-BEBF-12005BF33928}">
  <sheetPr/>
  <sheetViews>
    <sheetView zoomScale="117" workbookViewId="0"/>
  </sheetViews>
  <pageMargins left="0.75" right="0.75" top="1" bottom="1" header="0.5" footer="0.5"/>
  <pageSetup paperSize="9" orientation="landscape" r:id="rId1"/>
  <headerFooter alignWithMargins="0"/>
  <drawing r:id="rId2"/>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21590</xdr:colOff>
      <xdr:row>0</xdr:row>
      <xdr:rowOff>0</xdr:rowOff>
    </xdr:from>
    <xdr:to>
      <xdr:col>17</xdr:col>
      <xdr:colOff>184146</xdr:colOff>
      <xdr:row>29</xdr:row>
      <xdr:rowOff>132082</xdr:rowOff>
    </xdr:to>
    <xdr:sp macro="" textlink="">
      <xdr:nvSpPr>
        <xdr:cNvPr id="1025" name="Text Box 1">
          <a:extLst>
            <a:ext uri="{FF2B5EF4-FFF2-40B4-BE49-F238E27FC236}">
              <a16:creationId xmlns:a16="http://schemas.microsoft.com/office/drawing/2014/main" id="{ECA981CE-C88E-A6EE-4FA1-315EAC4B04A4}"/>
            </a:ext>
          </a:extLst>
        </xdr:cNvPr>
        <xdr:cNvSpPr txBox="1">
          <a:spLocks noChangeArrowheads="1"/>
        </xdr:cNvSpPr>
      </xdr:nvSpPr>
      <xdr:spPr bwMode="auto">
        <a:xfrm>
          <a:off x="25400" y="0"/>
          <a:ext cx="11620500" cy="4927600"/>
        </a:xfrm>
        <a:prstGeom prst="rect">
          <a:avLst/>
        </a:prstGeom>
        <a:solidFill>
          <a:srgbClr val="FFFFFF"/>
        </a:solidFill>
        <a:ln w="9525">
          <a:solidFill>
            <a:srgbClr val="000000"/>
          </a:solidFill>
          <a:miter lim="800000"/>
          <a:headEnd/>
          <a:tailEnd/>
        </a:ln>
      </xdr:spPr>
      <xdr:txBody>
        <a:bodyPr vertOverflow="clip" wrap="square" lIns="36576" tIns="27432" rIns="0" bIns="0" anchor="t"/>
        <a:lstStyle/>
        <a:p>
          <a:pPr algn="l" rtl="0">
            <a:defRPr sz="1000"/>
          </a:pPr>
          <a:r>
            <a:rPr lang="en-GB" sz="1400" b="1" i="0" u="none" strike="noStrike" baseline="0">
              <a:solidFill>
                <a:srgbClr val="000000"/>
              </a:solidFill>
              <a:latin typeface="Arial" pitchFamily="2" charset="0"/>
              <a:cs typeface="Arial" pitchFamily="2" charset="0"/>
            </a:rPr>
            <a:t>Un distributore di fusti di birra alla spina ha registrato le vendite in litri in 30 diversi negozi di una stessa città. Di questi negozi si conosce la dimensione in metri quadrati ("Dimensione M^2"), il numero di spine presenti all'interno del punto vendita ("Numero spine"), il periodo della settimana in cui ha effettuato la consegna ("Giorno settimana") e l'ubicazione del negozio ("ubicazione"). </a:t>
          </a:r>
        </a:p>
        <a:p>
          <a:pPr algn="l" rtl="0">
            <a:defRPr sz="1000"/>
          </a:pPr>
          <a:endParaRPr lang="en-GB" sz="1400" b="1" i="0" u="none" strike="noStrike" baseline="0">
            <a:solidFill>
              <a:srgbClr val="000000"/>
            </a:solidFill>
            <a:latin typeface="Arial" pitchFamily="2" charset="0"/>
            <a:cs typeface="Arial" pitchFamily="2" charset="0"/>
          </a:endParaRPr>
        </a:p>
        <a:p>
          <a:pPr algn="l" rtl="0">
            <a:defRPr sz="1000"/>
          </a:pPr>
          <a:r>
            <a:rPr lang="en-GB" sz="1400" b="1" i="0" u="none" strike="noStrike" baseline="0">
              <a:solidFill>
                <a:srgbClr val="000000"/>
              </a:solidFill>
              <a:latin typeface="Arial" pitchFamily="2" charset="0"/>
              <a:cs typeface="Arial" pitchFamily="2" charset="0"/>
            </a:rPr>
            <a:t>Q1) Stimare tramite la funzione REGR.LIN i parametri del modello di regressione in cui la variabile dipendente è data dal volume di litri venduti e le variabili esplicative sono: "Dimensione M^2" "Numero spine", "Giorno settimana", "ubicazione"</a:t>
          </a:r>
        </a:p>
        <a:p>
          <a:pPr algn="l" rtl="0">
            <a:defRPr sz="1000"/>
          </a:pPr>
          <a:endParaRPr lang="en-GB" sz="1400" b="1" i="0" u="none" strike="noStrike" baseline="0">
            <a:solidFill>
              <a:srgbClr val="000000"/>
            </a:solidFill>
            <a:latin typeface="Arial" pitchFamily="2" charset="0"/>
            <a:cs typeface="Arial" pitchFamily="2" charset="0"/>
          </a:endParaRPr>
        </a:p>
        <a:p>
          <a:pPr algn="l" rtl="0">
            <a:defRPr sz="1000"/>
          </a:pPr>
          <a:r>
            <a:rPr lang="en-GB" sz="1400" b="1" i="0" u="none" strike="noStrike" baseline="0">
              <a:solidFill>
                <a:srgbClr val="000000"/>
              </a:solidFill>
              <a:latin typeface="Arial" pitchFamily="2" charset="0"/>
              <a:cs typeface="Arial" pitchFamily="2" charset="0"/>
            </a:rPr>
            <a:t>Q2) Rimuovere tutte le variabili esplicative non significative al 5% riadattando il modello.</a:t>
          </a:r>
        </a:p>
        <a:p>
          <a:pPr algn="l" rtl="0">
            <a:defRPr sz="1000"/>
          </a:pPr>
          <a:endParaRPr lang="en-GB" sz="1400" b="1" i="0" u="none" strike="noStrike" baseline="0">
            <a:solidFill>
              <a:srgbClr val="000000"/>
            </a:solidFill>
            <a:latin typeface="Arial" pitchFamily="2" charset="0"/>
            <a:cs typeface="Arial" pitchFamily="2" charset="0"/>
          </a:endParaRPr>
        </a:p>
        <a:p>
          <a:pPr algn="l" rtl="0">
            <a:defRPr sz="1000"/>
          </a:pPr>
          <a:r>
            <a:rPr lang="en-GB" sz="1400" b="1" i="0" u="none" strike="noStrike" baseline="0">
              <a:solidFill>
                <a:srgbClr val="000000"/>
              </a:solidFill>
              <a:latin typeface="Arial" pitchFamily="2" charset="0"/>
              <a:cs typeface="Arial" pitchFamily="2" charset="0"/>
            </a:rPr>
            <a:t>Q3) Nel nuovo modello testare l'ipotesi nulla congiunta che il coefficiente legato al numero di spine ed il coefficiente legato alla dimensione siano uguali a zero, utilizzando un livello di significatività del 0.01% e commentare il risultato ottenuto.</a:t>
          </a:r>
        </a:p>
        <a:p>
          <a:pPr algn="l" rtl="0">
            <a:defRPr sz="1000"/>
          </a:pPr>
          <a:endParaRPr lang="en-GB" sz="1400" b="1" i="0" u="none" strike="noStrike" baseline="0">
            <a:solidFill>
              <a:srgbClr val="000000"/>
            </a:solidFill>
            <a:latin typeface="Arial" pitchFamily="2" charset="0"/>
            <a:cs typeface="Arial" pitchFamily="2" charset="0"/>
          </a:endParaRPr>
        </a:p>
        <a:p>
          <a:pPr algn="l" rtl="0">
            <a:defRPr sz="1000"/>
          </a:pPr>
          <a:r>
            <a:rPr lang="en-GB" sz="1400" b="1" i="0" u="none" strike="noStrike" baseline="0">
              <a:solidFill>
                <a:srgbClr val="000000"/>
              </a:solidFill>
              <a:latin typeface="Arial" pitchFamily="2" charset="0"/>
              <a:cs typeface="Arial" pitchFamily="2" charset="0"/>
            </a:rPr>
            <a:t>Q4) Costuire il grafico a dispersione residui --------- valori previsti.</a:t>
          </a:r>
        </a:p>
        <a:p>
          <a:pPr algn="l" rtl="0">
            <a:defRPr sz="1000"/>
          </a:pPr>
          <a:endParaRPr lang="en-GB" sz="1400" b="1" i="0" u="none" strike="noStrike" baseline="0">
            <a:solidFill>
              <a:srgbClr val="000000"/>
            </a:solidFill>
            <a:latin typeface="Arial" pitchFamily="2" charset="0"/>
            <a:cs typeface="Arial" pitchFamily="2" charset="0"/>
          </a:endParaRPr>
        </a:p>
        <a:p>
          <a:pPr algn="l" rtl="0">
            <a:defRPr sz="1000"/>
          </a:pPr>
          <a:r>
            <a:rPr lang="en-GB" sz="1400" b="1" i="0" u="none" strike="noStrike" baseline="0">
              <a:solidFill>
                <a:srgbClr val="000000"/>
              </a:solidFill>
              <a:latin typeface="Arial" pitchFamily="2" charset="0"/>
              <a:cs typeface="Arial" pitchFamily="2" charset="0"/>
            </a:rPr>
            <a:t>DOMANDA FACOLTATIVA-- rispondere solo dopo aver risposto alle altre domande.</a:t>
          </a:r>
        </a:p>
        <a:p>
          <a:pPr algn="l" rtl="0">
            <a:defRPr sz="1000"/>
          </a:pPr>
          <a:endParaRPr lang="en-GB" sz="1400" b="1" i="0" u="none" strike="noStrike" baseline="0">
            <a:solidFill>
              <a:srgbClr val="000000"/>
            </a:solidFill>
            <a:latin typeface="Arial" pitchFamily="2" charset="0"/>
            <a:cs typeface="Arial" pitchFamily="2" charset="0"/>
          </a:endParaRPr>
        </a:p>
        <a:p>
          <a:pPr algn="l" rtl="0">
            <a:defRPr sz="1000"/>
          </a:pPr>
          <a:r>
            <a:rPr lang="en-GB" sz="1400" b="1" i="0" u="none" strike="noStrike" baseline="0">
              <a:solidFill>
                <a:srgbClr val="000000"/>
              </a:solidFill>
              <a:latin typeface="Arial" pitchFamily="2" charset="0"/>
              <a:cs typeface="Arial" pitchFamily="2" charset="0"/>
            </a:rPr>
            <a:t>Prevedere le vendite stimate in base al modello durante un giorno festivo sapendo che il negozio ha dimensione pari a 2000 M^2 ed un numero di spine pari a 5.</a:t>
          </a:r>
        </a:p>
        <a:p>
          <a:pPr algn="l" rtl="0">
            <a:defRPr sz="1000"/>
          </a:pPr>
          <a:endParaRPr lang="en-GB" sz="1400" b="1" i="0" u="none" strike="noStrike" baseline="0">
            <a:solidFill>
              <a:srgbClr val="000000"/>
            </a:solidFill>
            <a:latin typeface="Arial" pitchFamily="2" charset="0"/>
            <a:cs typeface="Arial"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193530" cy="5604510"/>
    <xdr:graphicFrame macro="">
      <xdr:nvGraphicFramePr>
        <xdr:cNvPr id="2" name="Grafico 1">
          <a:extLst>
            <a:ext uri="{FF2B5EF4-FFF2-40B4-BE49-F238E27FC236}">
              <a16:creationId xmlns:a16="http://schemas.microsoft.com/office/drawing/2014/main" id="{886AA8B8-4C2D-5643-CF31-5C03B887612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7330-A890-4EBE-A677-25DAA59FD3DC}">
  <dimension ref="A1"/>
  <sheetViews>
    <sheetView workbookViewId="0">
      <selection activeCell="C39" sqref="C39"/>
    </sheetView>
  </sheetViews>
  <sheetFormatPr defaultColWidth="8.83203125" defaultRowHeight="12.3" x14ac:dyDescent="0.4"/>
  <sheetData/>
  <phoneticPr fontId="1" type="noConversion"/>
  <pageMargins left="0.75" right="0.75" top="1" bottom="1" header="0.5" footer="0.5"/>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E3E6-7F09-458A-9EA7-3133CB72B329}">
  <dimension ref="A1:M112"/>
  <sheetViews>
    <sheetView tabSelected="1" zoomScale="155" zoomScaleNormal="155" workbookViewId="0">
      <selection activeCell="C2" sqref="C2"/>
    </sheetView>
  </sheetViews>
  <sheetFormatPr defaultColWidth="8.83203125" defaultRowHeight="12.3" x14ac:dyDescent="0.4"/>
  <cols>
    <col min="1" max="1" width="10.33203125" customWidth="1"/>
    <col min="2" max="2" width="11.6640625" customWidth="1"/>
    <col min="3" max="3" width="13.6640625" customWidth="1"/>
    <col min="4" max="4" width="13.5" customWidth="1"/>
    <col min="5" max="5" width="15.1640625" customWidth="1"/>
    <col min="6" max="6" width="10.83203125" customWidth="1"/>
    <col min="7" max="7" width="9.6640625" customWidth="1"/>
    <col min="8" max="8" width="10" customWidth="1"/>
    <col min="9" max="9" width="9.83203125" customWidth="1"/>
    <col min="10" max="10" width="9.33203125" bestFit="1" customWidth="1"/>
    <col min="11" max="11" width="10.5" customWidth="1"/>
    <col min="12" max="12" width="7.6640625" customWidth="1"/>
    <col min="13" max="13" width="10.5" customWidth="1"/>
  </cols>
  <sheetData>
    <row r="1" spans="1:13" ht="25.5" customHeight="1" x14ac:dyDescent="0.4">
      <c r="B1" s="6" t="s">
        <v>58</v>
      </c>
      <c r="C1" s="6" t="s">
        <v>59</v>
      </c>
      <c r="D1" s="6" t="s">
        <v>60</v>
      </c>
      <c r="E1" s="6" t="s">
        <v>92</v>
      </c>
      <c r="F1" s="6" t="s">
        <v>61</v>
      </c>
      <c r="G1" s="5"/>
      <c r="H1" s="5"/>
      <c r="I1" s="4" t="s">
        <v>0</v>
      </c>
      <c r="J1" s="4" t="s">
        <v>3</v>
      </c>
      <c r="K1" s="4" t="s">
        <v>2</v>
      </c>
      <c r="L1" s="4" t="s">
        <v>1</v>
      </c>
      <c r="M1" s="4" t="s">
        <v>4</v>
      </c>
    </row>
    <row r="2" spans="1:13" x14ac:dyDescent="0.4">
      <c r="A2" s="7" t="s">
        <v>62</v>
      </c>
      <c r="B2">
        <v>4000</v>
      </c>
      <c r="C2">
        <v>4</v>
      </c>
      <c r="D2" t="s">
        <v>55</v>
      </c>
      <c r="E2">
        <v>1049</v>
      </c>
      <c r="F2" t="s">
        <v>93</v>
      </c>
      <c r="H2" s="7" t="s">
        <v>62</v>
      </c>
      <c r="I2">
        <v>4000</v>
      </c>
      <c r="J2">
        <f t="shared" ref="J2:J31" si="0">IF(D2="weekday",1,0)</f>
        <v>1</v>
      </c>
      <c r="K2">
        <v>1049</v>
      </c>
      <c r="L2">
        <v>4</v>
      </c>
      <c r="M2">
        <f t="shared" ref="M2:M31" si="1">IF(F2="outskirt",1,0)</f>
        <v>0</v>
      </c>
    </row>
    <row r="3" spans="1:13" x14ac:dyDescent="0.4">
      <c r="A3" s="7" t="s">
        <v>63</v>
      </c>
      <c r="B3">
        <v>5164</v>
      </c>
      <c r="C3">
        <v>4</v>
      </c>
      <c r="D3" t="s">
        <v>55</v>
      </c>
      <c r="E3">
        <v>1373</v>
      </c>
      <c r="F3" t="s">
        <v>93</v>
      </c>
      <c r="H3" t="s">
        <v>5</v>
      </c>
      <c r="I3">
        <v>5164</v>
      </c>
      <c r="J3">
        <f t="shared" si="0"/>
        <v>1</v>
      </c>
      <c r="K3">
        <v>1373</v>
      </c>
      <c r="L3">
        <v>4</v>
      </c>
      <c r="M3">
        <f t="shared" si="1"/>
        <v>0</v>
      </c>
    </row>
    <row r="4" spans="1:13" x14ac:dyDescent="0.4">
      <c r="A4" s="7" t="s">
        <v>64</v>
      </c>
      <c r="B4">
        <v>3785</v>
      </c>
      <c r="C4">
        <v>5</v>
      </c>
      <c r="D4" t="s">
        <v>55</v>
      </c>
      <c r="E4">
        <v>966</v>
      </c>
      <c r="F4" t="s">
        <v>93</v>
      </c>
      <c r="H4" t="s">
        <v>6</v>
      </c>
      <c r="I4">
        <v>3785</v>
      </c>
      <c r="J4">
        <f t="shared" si="0"/>
        <v>1</v>
      </c>
      <c r="K4">
        <v>966</v>
      </c>
      <c r="L4">
        <v>5</v>
      </c>
      <c r="M4">
        <f t="shared" si="1"/>
        <v>0</v>
      </c>
    </row>
    <row r="5" spans="1:13" x14ac:dyDescent="0.4">
      <c r="A5" s="7" t="s">
        <v>65</v>
      </c>
      <c r="B5">
        <v>7314</v>
      </c>
      <c r="C5">
        <v>8</v>
      </c>
      <c r="D5" t="s">
        <v>56</v>
      </c>
      <c r="E5">
        <v>1938</v>
      </c>
      <c r="F5" t="s">
        <v>94</v>
      </c>
      <c r="H5" t="s">
        <v>7</v>
      </c>
      <c r="I5">
        <v>7314</v>
      </c>
      <c r="J5">
        <f t="shared" si="0"/>
        <v>0</v>
      </c>
      <c r="K5">
        <v>1938</v>
      </c>
      <c r="L5">
        <v>8</v>
      </c>
      <c r="M5">
        <f t="shared" si="1"/>
        <v>1</v>
      </c>
    </row>
    <row r="6" spans="1:13" x14ac:dyDescent="0.4">
      <c r="A6" s="7" t="s">
        <v>66</v>
      </c>
      <c r="B6">
        <v>5367</v>
      </c>
      <c r="C6">
        <v>3</v>
      </c>
      <c r="D6" t="s">
        <v>55</v>
      </c>
      <c r="E6">
        <v>1432</v>
      </c>
      <c r="F6" t="s">
        <v>94</v>
      </c>
      <c r="H6" t="s">
        <v>8</v>
      </c>
      <c r="I6">
        <v>5367</v>
      </c>
      <c r="J6">
        <f t="shared" si="0"/>
        <v>1</v>
      </c>
      <c r="K6">
        <v>1432</v>
      </c>
      <c r="L6">
        <v>3</v>
      </c>
      <c r="M6">
        <f t="shared" si="1"/>
        <v>1</v>
      </c>
    </row>
    <row r="7" spans="1:13" x14ac:dyDescent="0.4">
      <c r="A7" s="7" t="s">
        <v>67</v>
      </c>
      <c r="B7">
        <v>3985</v>
      </c>
      <c r="C7">
        <v>8</v>
      </c>
      <c r="D7" t="s">
        <v>56</v>
      </c>
      <c r="E7">
        <v>972</v>
      </c>
      <c r="F7" t="s">
        <v>93</v>
      </c>
      <c r="H7" t="s">
        <v>9</v>
      </c>
      <c r="I7">
        <v>3985</v>
      </c>
      <c r="J7">
        <f t="shared" si="0"/>
        <v>0</v>
      </c>
      <c r="K7">
        <v>972</v>
      </c>
      <c r="L7">
        <v>8</v>
      </c>
      <c r="M7">
        <f t="shared" si="1"/>
        <v>0</v>
      </c>
    </row>
    <row r="8" spans="1:13" x14ac:dyDescent="0.4">
      <c r="A8" s="7" t="s">
        <v>68</v>
      </c>
      <c r="B8">
        <v>5841</v>
      </c>
      <c r="C8">
        <v>9</v>
      </c>
      <c r="D8" t="s">
        <v>56</v>
      </c>
      <c r="E8">
        <v>1495</v>
      </c>
      <c r="F8" t="s">
        <v>93</v>
      </c>
      <c r="H8" t="s">
        <v>10</v>
      </c>
      <c r="I8">
        <v>5841</v>
      </c>
      <c r="J8">
        <f t="shared" si="0"/>
        <v>0</v>
      </c>
      <c r="K8">
        <v>1495</v>
      </c>
      <c r="L8">
        <v>9</v>
      </c>
      <c r="M8">
        <f t="shared" si="1"/>
        <v>0</v>
      </c>
    </row>
    <row r="9" spans="1:13" x14ac:dyDescent="0.4">
      <c r="A9" s="7" t="s">
        <v>69</v>
      </c>
      <c r="B9">
        <v>6050</v>
      </c>
      <c r="C9">
        <v>6</v>
      </c>
      <c r="D9" t="s">
        <v>55</v>
      </c>
      <c r="E9">
        <v>1595</v>
      </c>
      <c r="F9" t="s">
        <v>93</v>
      </c>
      <c r="H9" t="s">
        <v>11</v>
      </c>
      <c r="I9">
        <v>6050</v>
      </c>
      <c r="J9">
        <f t="shared" si="0"/>
        <v>1</v>
      </c>
      <c r="K9">
        <v>1595</v>
      </c>
      <c r="L9">
        <v>6</v>
      </c>
      <c r="M9">
        <f t="shared" si="1"/>
        <v>0</v>
      </c>
    </row>
    <row r="10" spans="1:13" x14ac:dyDescent="0.4">
      <c r="A10" s="7" t="s">
        <v>70</v>
      </c>
      <c r="B10">
        <v>5717</v>
      </c>
      <c r="C10">
        <v>6</v>
      </c>
      <c r="D10" t="s">
        <v>55</v>
      </c>
      <c r="E10">
        <v>1530</v>
      </c>
      <c r="F10" t="s">
        <v>93</v>
      </c>
      <c r="H10" t="s">
        <v>12</v>
      </c>
      <c r="I10">
        <v>5717</v>
      </c>
      <c r="J10">
        <f t="shared" si="0"/>
        <v>1</v>
      </c>
      <c r="K10">
        <v>1530</v>
      </c>
      <c r="L10">
        <v>6</v>
      </c>
      <c r="M10">
        <f t="shared" si="1"/>
        <v>0</v>
      </c>
    </row>
    <row r="11" spans="1:13" x14ac:dyDescent="0.4">
      <c r="A11" s="7" t="s">
        <v>71</v>
      </c>
      <c r="B11">
        <v>4503</v>
      </c>
      <c r="C11">
        <v>2</v>
      </c>
      <c r="D11" t="s">
        <v>55</v>
      </c>
      <c r="E11">
        <v>1178</v>
      </c>
      <c r="F11" t="s">
        <v>94</v>
      </c>
      <c r="H11" t="s">
        <v>13</v>
      </c>
      <c r="I11">
        <v>4503</v>
      </c>
      <c r="J11">
        <f t="shared" si="0"/>
        <v>1</v>
      </c>
      <c r="K11">
        <v>1178</v>
      </c>
      <c r="L11">
        <v>2</v>
      </c>
      <c r="M11">
        <f t="shared" si="1"/>
        <v>1</v>
      </c>
    </row>
    <row r="12" spans="1:13" x14ac:dyDescent="0.4">
      <c r="A12" s="7" t="s">
        <v>72</v>
      </c>
      <c r="B12">
        <v>6980</v>
      </c>
      <c r="C12">
        <v>3</v>
      </c>
      <c r="D12" t="s">
        <v>55</v>
      </c>
      <c r="E12">
        <v>1905</v>
      </c>
      <c r="F12" t="s">
        <v>94</v>
      </c>
      <c r="H12" t="s">
        <v>14</v>
      </c>
      <c r="I12">
        <v>6980</v>
      </c>
      <c r="J12">
        <f t="shared" si="0"/>
        <v>1</v>
      </c>
      <c r="K12">
        <v>1905</v>
      </c>
      <c r="L12">
        <v>3</v>
      </c>
      <c r="M12">
        <f t="shared" si="1"/>
        <v>1</v>
      </c>
    </row>
    <row r="13" spans="1:13" x14ac:dyDescent="0.4">
      <c r="A13" s="7" t="s">
        <v>73</v>
      </c>
      <c r="B13">
        <v>5392</v>
      </c>
      <c r="C13">
        <v>3</v>
      </c>
      <c r="D13" t="s">
        <v>55</v>
      </c>
      <c r="E13">
        <v>1456</v>
      </c>
      <c r="F13" t="s">
        <v>94</v>
      </c>
      <c r="H13" t="s">
        <v>15</v>
      </c>
      <c r="I13">
        <v>5392</v>
      </c>
      <c r="J13">
        <f t="shared" si="0"/>
        <v>1</v>
      </c>
      <c r="K13">
        <v>1456</v>
      </c>
      <c r="L13">
        <v>3</v>
      </c>
      <c r="M13">
        <f t="shared" si="1"/>
        <v>1</v>
      </c>
    </row>
    <row r="14" spans="1:13" x14ac:dyDescent="0.4">
      <c r="A14" s="7" t="s">
        <v>74</v>
      </c>
      <c r="B14">
        <v>4064</v>
      </c>
      <c r="C14">
        <v>6</v>
      </c>
      <c r="D14" t="s">
        <v>55</v>
      </c>
      <c r="E14">
        <v>1052</v>
      </c>
      <c r="F14" t="s">
        <v>94</v>
      </c>
      <c r="H14" t="s">
        <v>16</v>
      </c>
      <c r="I14">
        <v>4064</v>
      </c>
      <c r="J14">
        <f t="shared" si="0"/>
        <v>1</v>
      </c>
      <c r="K14">
        <v>1052</v>
      </c>
      <c r="L14">
        <v>6</v>
      </c>
      <c r="M14">
        <f t="shared" si="1"/>
        <v>1</v>
      </c>
    </row>
    <row r="15" spans="1:13" x14ac:dyDescent="0.4">
      <c r="A15" s="7" t="s">
        <v>75</v>
      </c>
      <c r="B15">
        <v>1831</v>
      </c>
      <c r="C15">
        <v>4</v>
      </c>
      <c r="D15" t="s">
        <v>55</v>
      </c>
      <c r="E15">
        <v>414</v>
      </c>
      <c r="F15" t="s">
        <v>93</v>
      </c>
      <c r="H15" t="s">
        <v>17</v>
      </c>
      <c r="I15">
        <v>1831</v>
      </c>
      <c r="J15">
        <f t="shared" si="0"/>
        <v>1</v>
      </c>
      <c r="K15">
        <v>414</v>
      </c>
      <c r="L15">
        <v>4</v>
      </c>
      <c r="M15">
        <f t="shared" si="1"/>
        <v>0</v>
      </c>
    </row>
    <row r="16" spans="1:13" x14ac:dyDescent="0.4">
      <c r="A16" s="7" t="s">
        <v>76</v>
      </c>
      <c r="B16">
        <v>6571</v>
      </c>
      <c r="C16">
        <v>7</v>
      </c>
      <c r="D16" t="s">
        <v>55</v>
      </c>
      <c r="E16">
        <v>1750</v>
      </c>
      <c r="F16" t="s">
        <v>94</v>
      </c>
      <c r="H16" t="s">
        <v>18</v>
      </c>
      <c r="I16">
        <v>6571</v>
      </c>
      <c r="J16">
        <f t="shared" si="0"/>
        <v>1</v>
      </c>
      <c r="K16">
        <v>1750</v>
      </c>
      <c r="L16">
        <v>7</v>
      </c>
      <c r="M16">
        <f t="shared" si="1"/>
        <v>1</v>
      </c>
    </row>
    <row r="17" spans="1:13" x14ac:dyDescent="0.4">
      <c r="A17" s="7" t="s">
        <v>77</v>
      </c>
      <c r="B17">
        <v>4866</v>
      </c>
      <c r="C17">
        <v>5</v>
      </c>
      <c r="D17" t="s">
        <v>55</v>
      </c>
      <c r="E17">
        <v>1282</v>
      </c>
      <c r="F17" t="s">
        <v>94</v>
      </c>
      <c r="H17" t="s">
        <v>19</v>
      </c>
      <c r="I17">
        <v>4866</v>
      </c>
      <c r="J17">
        <f t="shared" si="0"/>
        <v>1</v>
      </c>
      <c r="K17">
        <v>1282</v>
      </c>
      <c r="L17">
        <v>5</v>
      </c>
      <c r="M17">
        <f t="shared" si="1"/>
        <v>1</v>
      </c>
    </row>
    <row r="18" spans="1:13" x14ac:dyDescent="0.4">
      <c r="A18" s="7" t="s">
        <v>78</v>
      </c>
      <c r="B18">
        <v>4900</v>
      </c>
      <c r="C18">
        <v>6</v>
      </c>
      <c r="D18" t="s">
        <v>55</v>
      </c>
      <c r="E18">
        <v>1294</v>
      </c>
      <c r="F18" t="s">
        <v>94</v>
      </c>
      <c r="H18" t="s">
        <v>20</v>
      </c>
      <c r="I18">
        <v>4900</v>
      </c>
      <c r="J18">
        <f t="shared" si="0"/>
        <v>1</v>
      </c>
      <c r="K18">
        <v>1294</v>
      </c>
      <c r="L18">
        <v>6</v>
      </c>
      <c r="M18">
        <f t="shared" si="1"/>
        <v>1</v>
      </c>
    </row>
    <row r="19" spans="1:13" x14ac:dyDescent="0.4">
      <c r="A19" s="7" t="s">
        <v>79</v>
      </c>
      <c r="B19">
        <v>6493</v>
      </c>
      <c r="C19">
        <v>11</v>
      </c>
      <c r="D19" t="s">
        <v>56</v>
      </c>
      <c r="E19">
        <v>1678</v>
      </c>
      <c r="F19" t="s">
        <v>93</v>
      </c>
      <c r="H19" t="s">
        <v>21</v>
      </c>
      <c r="I19">
        <v>6493</v>
      </c>
      <c r="J19">
        <f t="shared" si="0"/>
        <v>0</v>
      </c>
      <c r="K19">
        <v>1678</v>
      </c>
      <c r="L19">
        <v>11</v>
      </c>
      <c r="M19">
        <f t="shared" si="1"/>
        <v>0</v>
      </c>
    </row>
    <row r="20" spans="1:13" x14ac:dyDescent="0.4">
      <c r="A20" s="7" t="s">
        <v>80</v>
      </c>
      <c r="B20">
        <v>6125</v>
      </c>
      <c r="C20">
        <v>4</v>
      </c>
      <c r="D20" t="s">
        <v>55</v>
      </c>
      <c r="E20">
        <v>1628</v>
      </c>
      <c r="F20" t="s">
        <v>93</v>
      </c>
      <c r="H20" t="s">
        <v>22</v>
      </c>
      <c r="I20">
        <v>6125</v>
      </c>
      <c r="J20">
        <f t="shared" si="0"/>
        <v>1</v>
      </c>
      <c r="K20">
        <v>1628</v>
      </c>
      <c r="L20">
        <v>4</v>
      </c>
      <c r="M20">
        <f t="shared" si="1"/>
        <v>0</v>
      </c>
    </row>
    <row r="21" spans="1:13" x14ac:dyDescent="0.4">
      <c r="A21" s="7" t="s">
        <v>81</v>
      </c>
      <c r="B21">
        <v>5829</v>
      </c>
      <c r="C21">
        <v>7</v>
      </c>
      <c r="D21" t="s">
        <v>55</v>
      </c>
      <c r="E21">
        <v>1538</v>
      </c>
      <c r="F21" t="s">
        <v>93</v>
      </c>
      <c r="H21" t="s">
        <v>23</v>
      </c>
      <c r="I21">
        <v>5829</v>
      </c>
      <c r="J21">
        <f t="shared" si="0"/>
        <v>1</v>
      </c>
      <c r="K21">
        <v>1538</v>
      </c>
      <c r="L21">
        <v>7</v>
      </c>
      <c r="M21">
        <f t="shared" si="1"/>
        <v>0</v>
      </c>
    </row>
    <row r="22" spans="1:13" x14ac:dyDescent="0.4">
      <c r="A22" s="7" t="s">
        <v>82</v>
      </c>
      <c r="B22">
        <v>6416</v>
      </c>
      <c r="C22">
        <v>9</v>
      </c>
      <c r="D22" t="s">
        <v>56</v>
      </c>
      <c r="E22">
        <v>1668</v>
      </c>
      <c r="F22" t="s">
        <v>93</v>
      </c>
      <c r="H22" t="s">
        <v>24</v>
      </c>
      <c r="I22">
        <v>6416</v>
      </c>
      <c r="J22">
        <f t="shared" si="0"/>
        <v>0</v>
      </c>
      <c r="K22">
        <v>1668</v>
      </c>
      <c r="L22">
        <v>9</v>
      </c>
      <c r="M22">
        <f t="shared" si="1"/>
        <v>0</v>
      </c>
    </row>
    <row r="23" spans="1:13" x14ac:dyDescent="0.4">
      <c r="A23" s="7" t="s">
        <v>83</v>
      </c>
      <c r="B23">
        <v>5950</v>
      </c>
      <c r="C23">
        <v>3</v>
      </c>
      <c r="D23" t="s">
        <v>55</v>
      </c>
      <c r="E23">
        <v>1613</v>
      </c>
      <c r="F23" t="s">
        <v>93</v>
      </c>
      <c r="H23" t="s">
        <v>25</v>
      </c>
      <c r="I23">
        <v>5950</v>
      </c>
      <c r="J23">
        <f t="shared" si="0"/>
        <v>1</v>
      </c>
      <c r="K23">
        <v>1613</v>
      </c>
      <c r="L23">
        <v>3</v>
      </c>
      <c r="M23">
        <f t="shared" si="1"/>
        <v>0</v>
      </c>
    </row>
    <row r="24" spans="1:13" x14ac:dyDescent="0.4">
      <c r="A24" s="7" t="s">
        <v>84</v>
      </c>
      <c r="B24">
        <v>5061</v>
      </c>
      <c r="C24">
        <v>6</v>
      </c>
      <c r="D24" t="s">
        <v>55</v>
      </c>
      <c r="E24">
        <v>1330</v>
      </c>
      <c r="F24" t="s">
        <v>94</v>
      </c>
      <c r="H24" t="s">
        <v>26</v>
      </c>
      <c r="I24">
        <v>5061</v>
      </c>
      <c r="J24">
        <f t="shared" si="0"/>
        <v>1</v>
      </c>
      <c r="K24">
        <v>1330</v>
      </c>
      <c r="L24">
        <v>6</v>
      </c>
      <c r="M24">
        <f t="shared" si="1"/>
        <v>1</v>
      </c>
    </row>
    <row r="25" spans="1:13" x14ac:dyDescent="0.4">
      <c r="A25" s="7" t="s">
        <v>85</v>
      </c>
      <c r="B25">
        <v>2037</v>
      </c>
      <c r="C25">
        <v>3</v>
      </c>
      <c r="D25" t="s">
        <v>55</v>
      </c>
      <c r="E25">
        <v>504</v>
      </c>
      <c r="F25" t="s">
        <v>94</v>
      </c>
      <c r="H25" t="s">
        <v>27</v>
      </c>
      <c r="I25">
        <v>2037</v>
      </c>
      <c r="J25">
        <f t="shared" si="0"/>
        <v>1</v>
      </c>
      <c r="K25">
        <v>504</v>
      </c>
      <c r="L25">
        <v>3</v>
      </c>
      <c r="M25">
        <f t="shared" si="1"/>
        <v>1</v>
      </c>
    </row>
    <row r="26" spans="1:13" x14ac:dyDescent="0.4">
      <c r="A26" s="7" t="s">
        <v>86</v>
      </c>
      <c r="B26">
        <v>5766</v>
      </c>
      <c r="C26">
        <v>4</v>
      </c>
      <c r="D26" t="s">
        <v>55</v>
      </c>
      <c r="E26">
        <v>1548</v>
      </c>
      <c r="F26" t="s">
        <v>94</v>
      </c>
      <c r="H26" t="s">
        <v>28</v>
      </c>
      <c r="I26">
        <v>5766</v>
      </c>
      <c r="J26">
        <f t="shared" si="0"/>
        <v>1</v>
      </c>
      <c r="K26">
        <v>1548</v>
      </c>
      <c r="L26">
        <v>4</v>
      </c>
      <c r="M26">
        <f t="shared" si="1"/>
        <v>1</v>
      </c>
    </row>
    <row r="27" spans="1:13" x14ac:dyDescent="0.4">
      <c r="A27" s="7" t="s">
        <v>87</v>
      </c>
      <c r="B27">
        <v>4808</v>
      </c>
      <c r="C27">
        <v>4</v>
      </c>
      <c r="D27" t="s">
        <v>55</v>
      </c>
      <c r="E27">
        <v>1278</v>
      </c>
      <c r="F27" t="s">
        <v>94</v>
      </c>
      <c r="H27" t="s">
        <v>29</v>
      </c>
      <c r="I27">
        <v>4808</v>
      </c>
      <c r="J27">
        <f t="shared" si="0"/>
        <v>1</v>
      </c>
      <c r="K27">
        <v>1278</v>
      </c>
      <c r="L27">
        <v>4</v>
      </c>
      <c r="M27">
        <f t="shared" si="1"/>
        <v>1</v>
      </c>
    </row>
    <row r="28" spans="1:13" x14ac:dyDescent="0.4">
      <c r="A28" s="7" t="s">
        <v>88</v>
      </c>
      <c r="B28">
        <v>4685</v>
      </c>
      <c r="C28">
        <v>1</v>
      </c>
      <c r="D28" t="s">
        <v>55</v>
      </c>
      <c r="E28">
        <v>1238</v>
      </c>
      <c r="F28" t="s">
        <v>94</v>
      </c>
      <c r="H28" t="s">
        <v>30</v>
      </c>
      <c r="I28">
        <v>4685</v>
      </c>
      <c r="J28">
        <f t="shared" si="0"/>
        <v>1</v>
      </c>
      <c r="K28">
        <v>1238</v>
      </c>
      <c r="L28">
        <v>1</v>
      </c>
      <c r="M28">
        <f t="shared" si="1"/>
        <v>1</v>
      </c>
    </row>
    <row r="29" spans="1:13" x14ac:dyDescent="0.4">
      <c r="A29" s="7" t="s">
        <v>89</v>
      </c>
      <c r="B29">
        <v>2906</v>
      </c>
      <c r="C29">
        <v>4</v>
      </c>
      <c r="D29" t="s">
        <v>55</v>
      </c>
      <c r="E29">
        <v>712</v>
      </c>
      <c r="F29" t="s">
        <v>93</v>
      </c>
      <c r="H29" t="s">
        <v>31</v>
      </c>
      <c r="I29">
        <v>2906</v>
      </c>
      <c r="J29">
        <f t="shared" si="0"/>
        <v>1</v>
      </c>
      <c r="K29">
        <v>712</v>
      </c>
      <c r="L29">
        <v>4</v>
      </c>
      <c r="M29">
        <f t="shared" si="1"/>
        <v>0</v>
      </c>
    </row>
    <row r="30" spans="1:13" x14ac:dyDescent="0.4">
      <c r="A30" s="7" t="s">
        <v>90</v>
      </c>
      <c r="B30">
        <v>4459</v>
      </c>
      <c r="C30">
        <v>8</v>
      </c>
      <c r="D30" t="s">
        <v>56</v>
      </c>
      <c r="E30">
        <v>1109</v>
      </c>
      <c r="F30" t="s">
        <v>94</v>
      </c>
      <c r="H30" t="s">
        <v>32</v>
      </c>
      <c r="I30">
        <v>4459</v>
      </c>
      <c r="J30">
        <f t="shared" si="0"/>
        <v>0</v>
      </c>
      <c r="K30">
        <v>1109</v>
      </c>
      <c r="L30">
        <v>8</v>
      </c>
      <c r="M30">
        <f t="shared" si="1"/>
        <v>1</v>
      </c>
    </row>
    <row r="31" spans="1:13" x14ac:dyDescent="0.4">
      <c r="A31" s="7" t="s">
        <v>91</v>
      </c>
      <c r="B31">
        <v>5454</v>
      </c>
      <c r="C31">
        <v>4</v>
      </c>
      <c r="D31" t="s">
        <v>55</v>
      </c>
      <c r="E31">
        <v>1467</v>
      </c>
      <c r="F31" t="s">
        <v>93</v>
      </c>
      <c r="H31" t="s">
        <v>33</v>
      </c>
      <c r="I31">
        <v>5454</v>
      </c>
      <c r="J31">
        <f t="shared" si="0"/>
        <v>1</v>
      </c>
      <c r="K31">
        <v>1467</v>
      </c>
      <c r="L31">
        <v>4</v>
      </c>
      <c r="M31">
        <f t="shared" si="1"/>
        <v>0</v>
      </c>
    </row>
    <row r="33" spans="2:9" x14ac:dyDescent="0.4">
      <c r="C33" t="s">
        <v>4</v>
      </c>
      <c r="D33" s="1" t="s">
        <v>1</v>
      </c>
      <c r="E33" s="1" t="s">
        <v>2</v>
      </c>
      <c r="F33" t="s">
        <v>35</v>
      </c>
      <c r="G33" t="s">
        <v>34</v>
      </c>
    </row>
    <row r="34" spans="2:9" ht="17.399999999999999" x14ac:dyDescent="0.55000000000000004">
      <c r="C34">
        <f t="array" ref="C34:G38">LINEST(I2:I31,J2:M31,1,1)</f>
        <v>-16.084160440702881</v>
      </c>
      <c r="D34">
        <v>19.195945561907703</v>
      </c>
      <c r="E34">
        <v>3.495919855545544</v>
      </c>
      <c r="F34">
        <v>-125.29143080917707</v>
      </c>
      <c r="G34">
        <v>424.82221432779721</v>
      </c>
      <c r="I34" s="3" t="s">
        <v>47</v>
      </c>
    </row>
    <row r="35" spans="2:9" x14ac:dyDescent="0.4">
      <c r="C35">
        <v>14.53301768822126</v>
      </c>
      <c r="D35">
        <v>5.0654838649494547</v>
      </c>
      <c r="E35">
        <v>1.9976657591248798E-2</v>
      </c>
      <c r="F35">
        <v>27.697901914720056</v>
      </c>
      <c r="G35">
        <v>50.834845663641467</v>
      </c>
    </row>
    <row r="36" spans="2:9" ht="17.399999999999999" x14ac:dyDescent="0.55000000000000004">
      <c r="C36">
        <v>0.99929337468947599</v>
      </c>
      <c r="D36">
        <v>37.736561719270703</v>
      </c>
      <c r="E36" t="e">
        <v>#N/A</v>
      </c>
      <c r="F36" t="e">
        <v>#N/A</v>
      </c>
      <c r="G36" t="e">
        <v>#N/A</v>
      </c>
      <c r="I36" s="3" t="s">
        <v>48</v>
      </c>
    </row>
    <row r="37" spans="2:9" x14ac:dyDescent="0.4">
      <c r="C37">
        <v>8838.6072488376576</v>
      </c>
      <c r="D37">
        <v>25</v>
      </c>
      <c r="E37" t="e">
        <v>#N/A</v>
      </c>
      <c r="F37" t="e">
        <v>#N/A</v>
      </c>
      <c r="G37" t="e">
        <v>#N/A</v>
      </c>
    </row>
    <row r="38" spans="2:9" x14ac:dyDescent="0.4">
      <c r="C38">
        <v>50346407.097740181</v>
      </c>
      <c r="D38">
        <v>35601.202259808175</v>
      </c>
      <c r="E38" t="e">
        <v>#N/A</v>
      </c>
      <c r="F38" t="e">
        <v>#N/A</v>
      </c>
      <c r="G38" t="e">
        <v>#N/A</v>
      </c>
      <c r="I38" t="s">
        <v>49</v>
      </c>
    </row>
    <row r="40" spans="2:9" x14ac:dyDescent="0.4">
      <c r="B40" t="s">
        <v>37</v>
      </c>
      <c r="C40">
        <f>C34/C35</f>
        <v>-1.1067323239920634</v>
      </c>
      <c r="D40">
        <f>D34/D35</f>
        <v>3.7895581298232499</v>
      </c>
      <c r="E40">
        <f>E34/E35</f>
        <v>175.00023913294717</v>
      </c>
      <c r="F40">
        <f>F34/F35</f>
        <v>-4.5234989709668554</v>
      </c>
      <c r="G40">
        <f>G34/G35</f>
        <v>8.356909690229319</v>
      </c>
    </row>
    <row r="41" spans="2:9" x14ac:dyDescent="0.4">
      <c r="B41" t="s">
        <v>38</v>
      </c>
      <c r="C41">
        <f>TDIST(ABS(C40),$D37,2)</f>
        <v>0.27894566003419596</v>
      </c>
      <c r="D41">
        <f>TDIST(ABS(D40),$D37,2)</f>
        <v>8.4885179759745983E-4</v>
      </c>
      <c r="E41">
        <f>TDIST(ABS(E40),$D37,2)</f>
        <v>3.9142325792294563E-40</v>
      </c>
      <c r="F41">
        <f>TDIST(ABS(F40),$D37,2)</f>
        <v>1.2814189688297708E-4</v>
      </c>
      <c r="G41">
        <f>TDIST(ABS(G40),$D37,2)</f>
        <v>1.0506433238410089E-8</v>
      </c>
    </row>
    <row r="43" spans="2:9" ht="17.399999999999999" x14ac:dyDescent="0.55000000000000004">
      <c r="C43" t="s">
        <v>1</v>
      </c>
      <c r="D43" t="s">
        <v>36</v>
      </c>
      <c r="E43" t="s">
        <v>35</v>
      </c>
      <c r="F43" t="s">
        <v>34</v>
      </c>
      <c r="I43" s="3" t="s">
        <v>50</v>
      </c>
    </row>
    <row r="44" spans="2:9" x14ac:dyDescent="0.4">
      <c r="C44" s="2">
        <f t="array" ref="C44:F48">LINEST(I2:I31,J2:L31,1,1)</f>
        <v>20.654352414397383</v>
      </c>
      <c r="D44" s="2">
        <v>3.4926888102949101</v>
      </c>
      <c r="E44" s="2">
        <v>-122.65943935394213</v>
      </c>
      <c r="F44" s="2">
        <v>411.34941047067315</v>
      </c>
    </row>
    <row r="45" spans="2:9" x14ac:dyDescent="0.4">
      <c r="C45">
        <v>4.9121815771492576</v>
      </c>
      <c r="D45">
        <v>1.9847449007567072E-2</v>
      </c>
      <c r="E45">
        <v>27.714688525437193</v>
      </c>
      <c r="F45">
        <v>49.568686562498087</v>
      </c>
      <c r="I45" t="s">
        <v>51</v>
      </c>
    </row>
    <row r="46" spans="2:9" x14ac:dyDescent="0.4">
      <c r="C46">
        <v>0.99925875410707121</v>
      </c>
      <c r="D46">
        <v>37.899389446004804</v>
      </c>
      <c r="E46" t="e">
        <v>#N/A</v>
      </c>
      <c r="F46" t="e">
        <v>#N/A</v>
      </c>
    </row>
    <row r="47" spans="2:9" x14ac:dyDescent="0.4">
      <c r="C47">
        <v>11683.359892055096</v>
      </c>
      <c r="D47">
        <v>26</v>
      </c>
      <c r="E47" t="e">
        <v>#N/A</v>
      </c>
      <c r="F47" t="e">
        <v>#N/A</v>
      </c>
    </row>
    <row r="48" spans="2:9" x14ac:dyDescent="0.4">
      <c r="C48">
        <v>50344662.843270108</v>
      </c>
      <c r="D48">
        <v>37345.456729878446</v>
      </c>
      <c r="E48" t="e">
        <v>#N/A</v>
      </c>
      <c r="F48" t="e">
        <v>#N/A</v>
      </c>
    </row>
    <row r="50" spans="2:7" x14ac:dyDescent="0.4">
      <c r="B50" t="s">
        <v>37</v>
      </c>
      <c r="C50">
        <f>C44/C45</f>
        <v>4.2047208740162167</v>
      </c>
      <c r="D50">
        <f>D44/D45</f>
        <v>175.97671161484186</v>
      </c>
      <c r="E50">
        <f>E44/E45</f>
        <v>-4.4257917328337433</v>
      </c>
      <c r="F50">
        <f>F44/F45</f>
        <v>8.2985739384485839</v>
      </c>
    </row>
    <row r="51" spans="2:7" x14ac:dyDescent="0.4">
      <c r="B51" t="s">
        <v>38</v>
      </c>
      <c r="C51">
        <f>TDIST(ABS(C50),$D47,2)</f>
        <v>2.7363428191978377E-4</v>
      </c>
      <c r="D51">
        <f>TDIST(ABS(D50),$D47,2)</f>
        <v>1.5795302657664377E-41</v>
      </c>
      <c r="E51">
        <f>TDIST(ABS(E50),$D47,2)</f>
        <v>1.5298589662924059E-4</v>
      </c>
      <c r="F51">
        <f>TDIST(ABS(F50),$D47,2)</f>
        <v>8.83778432042257E-9</v>
      </c>
    </row>
    <row r="54" spans="2:7" x14ac:dyDescent="0.4">
      <c r="C54" s="1" t="s">
        <v>3</v>
      </c>
      <c r="D54" t="s">
        <v>34</v>
      </c>
    </row>
    <row r="55" spans="2:7" x14ac:dyDescent="0.4">
      <c r="B55" t="s">
        <v>39</v>
      </c>
      <c r="C55">
        <f t="array" ref="C55:D59">LINEST(I2:I31,J2:J31,1,1)</f>
        <v>-842.5416666666672</v>
      </c>
      <c r="D55">
        <v>5751.3333333333339</v>
      </c>
    </row>
    <row r="56" spans="2:7" x14ac:dyDescent="0.4">
      <c r="C56">
        <v>591.19658529778246</v>
      </c>
      <c r="D56">
        <v>528.78230111663777</v>
      </c>
    </row>
    <row r="57" spans="2:7" x14ac:dyDescent="0.4">
      <c r="C57">
        <v>6.7631424853965547E-2</v>
      </c>
      <c r="D57">
        <v>1295.2468227504896</v>
      </c>
    </row>
    <row r="58" spans="2:7" x14ac:dyDescent="0.4">
      <c r="C58">
        <v>2.0310421719376732</v>
      </c>
      <c r="D58">
        <v>28</v>
      </c>
    </row>
    <row r="59" spans="2:7" x14ac:dyDescent="0.4">
      <c r="C59">
        <v>3407407.0083333179</v>
      </c>
      <c r="D59">
        <v>46974601.291666672</v>
      </c>
    </row>
    <row r="61" spans="2:7" x14ac:dyDescent="0.4">
      <c r="B61" t="s">
        <v>40</v>
      </c>
      <c r="C61">
        <f>(D59-D48)/(D58-D47)</f>
        <v>23468627.917468395</v>
      </c>
      <c r="F61" t="s">
        <v>44</v>
      </c>
    </row>
    <row r="62" spans="2:7" x14ac:dyDescent="0.4">
      <c r="E62">
        <v>4</v>
      </c>
      <c r="F62">
        <f>INDEX(C$44:F$44,1,E62)</f>
        <v>411.34941047067315</v>
      </c>
      <c r="G62" t="s">
        <v>34</v>
      </c>
    </row>
    <row r="63" spans="2:7" x14ac:dyDescent="0.4">
      <c r="B63" t="s">
        <v>41</v>
      </c>
      <c r="C63">
        <f>D48/D47</f>
        <v>1436.3637203799403</v>
      </c>
      <c r="E63">
        <v>3</v>
      </c>
      <c r="F63">
        <f>INDEX(C$44:F$44,1,E63)</f>
        <v>-122.65943935394213</v>
      </c>
      <c r="G63" t="s">
        <v>35</v>
      </c>
    </row>
    <row r="64" spans="2:7" x14ac:dyDescent="0.4">
      <c r="E64">
        <v>2</v>
      </c>
      <c r="F64">
        <f>INDEX(C$44:F$44,1,E64)</f>
        <v>3.4926888102949101</v>
      </c>
      <c r="G64" t="s">
        <v>36</v>
      </c>
    </row>
    <row r="65" spans="2:9" x14ac:dyDescent="0.4">
      <c r="B65" t="s">
        <v>42</v>
      </c>
      <c r="C65">
        <f>C61/C63</f>
        <v>16338.917214687504</v>
      </c>
      <c r="E65">
        <v>1</v>
      </c>
      <c r="F65">
        <f>INDEX(C$44:F$44,1,E65)</f>
        <v>20.654352414397383</v>
      </c>
      <c r="G65" t="s">
        <v>1</v>
      </c>
    </row>
    <row r="67" spans="2:9" x14ac:dyDescent="0.4">
      <c r="B67" t="s">
        <v>53</v>
      </c>
      <c r="C67">
        <f>FDIST(C65,2,D47)</f>
        <v>5.0683983784604485E-41</v>
      </c>
    </row>
    <row r="69" spans="2:9" ht="17.399999999999999" x14ac:dyDescent="0.55000000000000004">
      <c r="D69" s="3" t="s">
        <v>52</v>
      </c>
    </row>
    <row r="70" spans="2:9" ht="25.5" customHeight="1" x14ac:dyDescent="0.4">
      <c r="C70" s="4" t="str">
        <f t="shared" ref="C70:C100" si="2">I1</f>
        <v>Litri birra</v>
      </c>
      <c r="D70" s="4" t="s">
        <v>43</v>
      </c>
      <c r="E70" s="4" t="str">
        <f t="shared" ref="E70:E100" si="3">J1</f>
        <v>Giorno settimana</v>
      </c>
      <c r="F70" s="4" t="str">
        <f t="shared" ref="F70:F100" si="4">K1</f>
        <v>Dimensione (M^2)</v>
      </c>
      <c r="G70" s="4" t="str">
        <f t="shared" ref="G70:G100" si="5">L1</f>
        <v>Numero spine</v>
      </c>
      <c r="H70" s="4" t="s">
        <v>45</v>
      </c>
      <c r="I70" s="4" t="s">
        <v>46</v>
      </c>
    </row>
    <row r="71" spans="2:9" x14ac:dyDescent="0.4">
      <c r="B71" t="str">
        <f t="shared" ref="B71:B100" si="6">H2</f>
        <v>Shop 1</v>
      </c>
      <c r="C71">
        <f t="shared" si="2"/>
        <v>4000</v>
      </c>
      <c r="D71">
        <v>1</v>
      </c>
      <c r="E71">
        <f t="shared" si="3"/>
        <v>1</v>
      </c>
      <c r="F71">
        <f t="shared" si="4"/>
        <v>1049</v>
      </c>
      <c r="G71">
        <f t="shared" si="5"/>
        <v>4</v>
      </c>
      <c r="H71">
        <f t="array" ref="H71:H100">MMULT(D71:G100,F62:F65)</f>
        <v>4035.1379427736815</v>
      </c>
      <c r="I71">
        <f>(C71-H71)</f>
        <v>-35.137942773681516</v>
      </c>
    </row>
    <row r="72" spans="2:9" x14ac:dyDescent="0.4">
      <c r="B72" t="str">
        <f t="shared" si="6"/>
        <v>Negozio 2</v>
      </c>
      <c r="C72">
        <f t="shared" si="2"/>
        <v>5164</v>
      </c>
      <c r="D72">
        <v>1</v>
      </c>
      <c r="E72">
        <f t="shared" si="3"/>
        <v>1</v>
      </c>
      <c r="F72">
        <f t="shared" si="4"/>
        <v>1373</v>
      </c>
      <c r="G72">
        <f t="shared" si="5"/>
        <v>4</v>
      </c>
      <c r="H72">
        <v>5166.7691173092317</v>
      </c>
      <c r="I72">
        <f t="shared" ref="I72:I100" si="7">(C72-H72)</f>
        <v>-2.7691173092316603</v>
      </c>
    </row>
    <row r="73" spans="2:9" x14ac:dyDescent="0.4">
      <c r="B73" t="str">
        <f t="shared" si="6"/>
        <v>Negozio 3</v>
      </c>
      <c r="C73">
        <f t="shared" si="2"/>
        <v>3785</v>
      </c>
      <c r="D73">
        <v>1</v>
      </c>
      <c r="E73">
        <f t="shared" si="3"/>
        <v>1</v>
      </c>
      <c r="F73">
        <f t="shared" si="4"/>
        <v>966</v>
      </c>
      <c r="G73">
        <f t="shared" si="5"/>
        <v>5</v>
      </c>
      <c r="H73">
        <v>3765.899123933601</v>
      </c>
      <c r="I73">
        <f t="shared" si="7"/>
        <v>19.100876066398996</v>
      </c>
    </row>
    <row r="74" spans="2:9" x14ac:dyDescent="0.4">
      <c r="B74" t="str">
        <f t="shared" si="6"/>
        <v>Negozio 4</v>
      </c>
      <c r="C74">
        <f t="shared" si="2"/>
        <v>7314</v>
      </c>
      <c r="D74">
        <v>1</v>
      </c>
      <c r="E74">
        <f t="shared" si="3"/>
        <v>0</v>
      </c>
      <c r="F74">
        <f t="shared" si="4"/>
        <v>1938</v>
      </c>
      <c r="G74">
        <f t="shared" si="5"/>
        <v>8</v>
      </c>
      <c r="H74">
        <v>7345.4151441373879</v>
      </c>
      <c r="I74">
        <f t="shared" si="7"/>
        <v>-31.41514413738787</v>
      </c>
    </row>
    <row r="75" spans="2:9" x14ac:dyDescent="0.4">
      <c r="B75" t="str">
        <f t="shared" si="6"/>
        <v>Negozio 5</v>
      </c>
      <c r="C75">
        <f t="shared" si="2"/>
        <v>5367</v>
      </c>
      <c r="D75">
        <v>1</v>
      </c>
      <c r="E75">
        <f t="shared" si="3"/>
        <v>1</v>
      </c>
      <c r="F75">
        <f t="shared" si="4"/>
        <v>1432</v>
      </c>
      <c r="G75">
        <f t="shared" si="5"/>
        <v>3</v>
      </c>
      <c r="H75">
        <v>5352.1834047022339</v>
      </c>
      <c r="I75">
        <f t="shared" si="7"/>
        <v>14.816595297766071</v>
      </c>
    </row>
    <row r="76" spans="2:9" x14ac:dyDescent="0.4">
      <c r="B76" t="str">
        <f t="shared" si="6"/>
        <v>Negozio 6</v>
      </c>
      <c r="C76">
        <f t="shared" si="2"/>
        <v>3985</v>
      </c>
      <c r="D76">
        <v>1</v>
      </c>
      <c r="E76">
        <f t="shared" si="3"/>
        <v>0</v>
      </c>
      <c r="F76">
        <f t="shared" si="4"/>
        <v>972</v>
      </c>
      <c r="G76">
        <f t="shared" si="5"/>
        <v>8</v>
      </c>
      <c r="H76">
        <v>3971.4777533925053</v>
      </c>
      <c r="I76">
        <f t="shared" si="7"/>
        <v>13.522246607494708</v>
      </c>
    </row>
    <row r="77" spans="2:9" x14ac:dyDescent="0.4">
      <c r="B77" t="str">
        <f t="shared" si="6"/>
        <v>Negozio 7</v>
      </c>
      <c r="C77">
        <f t="shared" si="2"/>
        <v>5841</v>
      </c>
      <c r="D77">
        <v>1</v>
      </c>
      <c r="E77">
        <f t="shared" si="3"/>
        <v>0</v>
      </c>
      <c r="F77">
        <f t="shared" si="4"/>
        <v>1495</v>
      </c>
      <c r="G77">
        <f t="shared" si="5"/>
        <v>9</v>
      </c>
      <c r="H77">
        <v>5818.8083535911401</v>
      </c>
      <c r="I77">
        <f t="shared" si="7"/>
        <v>22.191646408859924</v>
      </c>
    </row>
    <row r="78" spans="2:9" x14ac:dyDescent="0.4">
      <c r="B78" t="str">
        <f t="shared" si="6"/>
        <v>Negozio 8</v>
      </c>
      <c r="C78">
        <f t="shared" si="2"/>
        <v>6050</v>
      </c>
      <c r="D78">
        <v>1</v>
      </c>
      <c r="E78">
        <f t="shared" si="3"/>
        <v>1</v>
      </c>
      <c r="F78">
        <f t="shared" si="4"/>
        <v>1595</v>
      </c>
      <c r="G78">
        <f t="shared" si="5"/>
        <v>6</v>
      </c>
      <c r="H78">
        <v>5983.4547380234962</v>
      </c>
      <c r="I78">
        <f t="shared" si="7"/>
        <v>66.545261976503753</v>
      </c>
    </row>
    <row r="79" spans="2:9" x14ac:dyDescent="0.4">
      <c r="B79" t="str">
        <f t="shared" si="6"/>
        <v>Negozio 9</v>
      </c>
      <c r="C79">
        <f t="shared" si="2"/>
        <v>5717</v>
      </c>
      <c r="D79">
        <v>1</v>
      </c>
      <c r="E79">
        <f t="shared" si="3"/>
        <v>1</v>
      </c>
      <c r="F79">
        <f t="shared" si="4"/>
        <v>1530</v>
      </c>
      <c r="G79">
        <f t="shared" si="5"/>
        <v>6</v>
      </c>
      <c r="H79">
        <v>5756.4299653543267</v>
      </c>
      <c r="I79">
        <f t="shared" si="7"/>
        <v>-39.429965354326669</v>
      </c>
    </row>
    <row r="80" spans="2:9" x14ac:dyDescent="0.4">
      <c r="B80" t="str">
        <f t="shared" si="6"/>
        <v>Negozio 10</v>
      </c>
      <c r="C80">
        <f t="shared" si="2"/>
        <v>4503</v>
      </c>
      <c r="D80">
        <v>1</v>
      </c>
      <c r="E80">
        <f t="shared" si="3"/>
        <v>1</v>
      </c>
      <c r="F80">
        <f t="shared" si="4"/>
        <v>1178</v>
      </c>
      <c r="G80">
        <f t="shared" si="5"/>
        <v>2</v>
      </c>
      <c r="H80">
        <v>4444.3860944729295</v>
      </c>
      <c r="I80">
        <f t="shared" si="7"/>
        <v>58.613905527070528</v>
      </c>
    </row>
    <row r="81" spans="2:9" x14ac:dyDescent="0.4">
      <c r="B81" t="str">
        <f t="shared" si="6"/>
        <v>Negozio 11</v>
      </c>
      <c r="C81">
        <f t="shared" si="2"/>
        <v>6980</v>
      </c>
      <c r="D81">
        <v>1</v>
      </c>
      <c r="E81">
        <f t="shared" si="3"/>
        <v>1</v>
      </c>
      <c r="F81">
        <f t="shared" si="4"/>
        <v>1905</v>
      </c>
      <c r="G81">
        <f t="shared" si="5"/>
        <v>3</v>
      </c>
      <c r="H81">
        <v>7004.2252119717268</v>
      </c>
      <c r="I81">
        <f t="shared" si="7"/>
        <v>-24.225211971726822</v>
      </c>
    </row>
    <row r="82" spans="2:9" x14ac:dyDescent="0.4">
      <c r="B82" t="str">
        <f t="shared" si="6"/>
        <v>Negozio 12</v>
      </c>
      <c r="C82">
        <f t="shared" si="2"/>
        <v>5392</v>
      </c>
      <c r="D82">
        <v>1</v>
      </c>
      <c r="E82">
        <f t="shared" si="3"/>
        <v>1</v>
      </c>
      <c r="F82">
        <f t="shared" si="4"/>
        <v>1456</v>
      </c>
      <c r="G82">
        <f t="shared" si="5"/>
        <v>3</v>
      </c>
      <c r="H82">
        <v>5436.0079361493126</v>
      </c>
      <c r="I82">
        <f t="shared" si="7"/>
        <v>-44.007936149312627</v>
      </c>
    </row>
    <row r="83" spans="2:9" x14ac:dyDescent="0.4">
      <c r="B83" t="str">
        <f t="shared" si="6"/>
        <v>Negozio 13</v>
      </c>
      <c r="C83">
        <f t="shared" si="2"/>
        <v>4064</v>
      </c>
      <c r="D83">
        <v>1</v>
      </c>
      <c r="E83">
        <f t="shared" si="3"/>
        <v>1</v>
      </c>
      <c r="F83">
        <f t="shared" si="4"/>
        <v>1052</v>
      </c>
      <c r="G83">
        <f t="shared" si="5"/>
        <v>6</v>
      </c>
      <c r="H83">
        <v>4086.9247140333609</v>
      </c>
      <c r="I83">
        <f t="shared" si="7"/>
        <v>-22.924714033360942</v>
      </c>
    </row>
    <row r="84" spans="2:9" x14ac:dyDescent="0.4">
      <c r="B84" t="str">
        <f t="shared" si="6"/>
        <v>Negozio 14</v>
      </c>
      <c r="C84">
        <f t="shared" si="2"/>
        <v>1831</v>
      </c>
      <c r="D84">
        <v>1</v>
      </c>
      <c r="E84">
        <f t="shared" si="3"/>
        <v>1</v>
      </c>
      <c r="F84">
        <f t="shared" si="4"/>
        <v>414</v>
      </c>
      <c r="G84">
        <f t="shared" si="5"/>
        <v>4</v>
      </c>
      <c r="H84">
        <v>1817.2805482364133</v>
      </c>
      <c r="I84">
        <f t="shared" si="7"/>
        <v>13.719451763586676</v>
      </c>
    </row>
    <row r="85" spans="2:9" x14ac:dyDescent="0.4">
      <c r="B85" t="str">
        <f t="shared" si="6"/>
        <v>Negozio 15</v>
      </c>
      <c r="C85">
        <f t="shared" si="2"/>
        <v>6571</v>
      </c>
      <c r="D85">
        <v>1</v>
      </c>
      <c r="E85">
        <f t="shared" si="3"/>
        <v>1</v>
      </c>
      <c r="F85">
        <f t="shared" si="4"/>
        <v>1750</v>
      </c>
      <c r="G85">
        <f t="shared" si="5"/>
        <v>7</v>
      </c>
      <c r="H85">
        <v>6545.4758560336059</v>
      </c>
      <c r="I85">
        <f t="shared" si="7"/>
        <v>25.524143966394149</v>
      </c>
    </row>
    <row r="86" spans="2:9" x14ac:dyDescent="0.4">
      <c r="B86" t="str">
        <f t="shared" si="6"/>
        <v>Negozio 16</v>
      </c>
      <c r="C86">
        <f t="shared" si="2"/>
        <v>4866</v>
      </c>
      <c r="D86">
        <v>1</v>
      </c>
      <c r="E86">
        <f t="shared" si="3"/>
        <v>1</v>
      </c>
      <c r="F86">
        <f t="shared" si="4"/>
        <v>1282</v>
      </c>
      <c r="G86">
        <f t="shared" si="5"/>
        <v>5</v>
      </c>
      <c r="H86">
        <v>4869.5887879867923</v>
      </c>
      <c r="I86">
        <f t="shared" si="7"/>
        <v>-3.5887879867923402</v>
      </c>
    </row>
    <row r="87" spans="2:9" x14ac:dyDescent="0.4">
      <c r="B87" t="str">
        <f t="shared" si="6"/>
        <v>Negozio 17</v>
      </c>
      <c r="C87">
        <f t="shared" si="2"/>
        <v>4900</v>
      </c>
      <c r="D87">
        <v>1</v>
      </c>
      <c r="E87">
        <f t="shared" si="3"/>
        <v>1</v>
      </c>
      <c r="F87">
        <f t="shared" si="4"/>
        <v>1294</v>
      </c>
      <c r="G87">
        <f t="shared" si="5"/>
        <v>6</v>
      </c>
      <c r="H87">
        <v>4932.155406124728</v>
      </c>
      <c r="I87">
        <f t="shared" si="7"/>
        <v>-32.155406124727961</v>
      </c>
    </row>
    <row r="88" spans="2:9" x14ac:dyDescent="0.4">
      <c r="B88" t="str">
        <f t="shared" si="6"/>
        <v>Negozio 18</v>
      </c>
      <c r="C88">
        <f t="shared" si="2"/>
        <v>6493</v>
      </c>
      <c r="D88">
        <v>1</v>
      </c>
      <c r="E88">
        <f t="shared" si="3"/>
        <v>0</v>
      </c>
      <c r="F88">
        <f t="shared" si="4"/>
        <v>1678</v>
      </c>
      <c r="G88">
        <f t="shared" si="5"/>
        <v>11</v>
      </c>
      <c r="H88">
        <v>6499.2791107039029</v>
      </c>
      <c r="I88">
        <f t="shared" si="7"/>
        <v>-6.2791107039029157</v>
      </c>
    </row>
    <row r="89" spans="2:9" x14ac:dyDescent="0.4">
      <c r="B89" t="str">
        <f t="shared" si="6"/>
        <v>Negozio 19</v>
      </c>
      <c r="C89">
        <f t="shared" si="2"/>
        <v>6125</v>
      </c>
      <c r="D89">
        <v>1</v>
      </c>
      <c r="E89">
        <f t="shared" si="3"/>
        <v>1</v>
      </c>
      <c r="F89">
        <f t="shared" si="4"/>
        <v>1628</v>
      </c>
      <c r="G89">
        <f t="shared" si="5"/>
        <v>4</v>
      </c>
      <c r="H89">
        <v>6057.4047639344335</v>
      </c>
      <c r="I89">
        <f t="shared" si="7"/>
        <v>67.595236065566496</v>
      </c>
    </row>
    <row r="90" spans="2:9" x14ac:dyDescent="0.4">
      <c r="B90" t="str">
        <f t="shared" si="6"/>
        <v>Negozio 20</v>
      </c>
      <c r="C90">
        <f t="shared" si="2"/>
        <v>5829</v>
      </c>
      <c r="D90">
        <v>1</v>
      </c>
      <c r="E90">
        <f t="shared" si="3"/>
        <v>1</v>
      </c>
      <c r="F90">
        <f t="shared" si="4"/>
        <v>1538</v>
      </c>
      <c r="G90">
        <f t="shared" si="5"/>
        <v>7</v>
      </c>
      <c r="H90">
        <v>5805.0258282510849</v>
      </c>
      <c r="I90">
        <f t="shared" si="7"/>
        <v>23.974171748915069</v>
      </c>
    </row>
    <row r="91" spans="2:9" x14ac:dyDescent="0.4">
      <c r="B91" t="str">
        <f t="shared" si="6"/>
        <v>Negozio 21</v>
      </c>
      <c r="C91">
        <f t="shared" si="2"/>
        <v>6416</v>
      </c>
      <c r="D91">
        <v>1</v>
      </c>
      <c r="E91">
        <f t="shared" si="3"/>
        <v>0</v>
      </c>
      <c r="F91">
        <f t="shared" si="4"/>
        <v>1668</v>
      </c>
      <c r="G91">
        <f t="shared" si="5"/>
        <v>9</v>
      </c>
      <c r="H91">
        <v>6423.0435177721602</v>
      </c>
      <c r="I91">
        <f t="shared" si="7"/>
        <v>-7.0435177721601576</v>
      </c>
    </row>
    <row r="92" spans="2:9" x14ac:dyDescent="0.4">
      <c r="B92" t="str">
        <f t="shared" si="6"/>
        <v>Negozio 22</v>
      </c>
      <c r="C92">
        <f t="shared" si="2"/>
        <v>5950</v>
      </c>
      <c r="D92">
        <v>1</v>
      </c>
      <c r="E92">
        <f t="shared" si="3"/>
        <v>1</v>
      </c>
      <c r="F92">
        <f t="shared" si="4"/>
        <v>1613</v>
      </c>
      <c r="G92">
        <f t="shared" si="5"/>
        <v>3</v>
      </c>
      <c r="H92">
        <v>5984.3600793656133</v>
      </c>
      <c r="I92">
        <f t="shared" si="7"/>
        <v>-34.360079365613274</v>
      </c>
    </row>
    <row r="93" spans="2:9" x14ac:dyDescent="0.4">
      <c r="B93" t="str">
        <f t="shared" si="6"/>
        <v>Negozio 23</v>
      </c>
      <c r="C93">
        <f t="shared" si="2"/>
        <v>5061</v>
      </c>
      <c r="D93">
        <v>1</v>
      </c>
      <c r="E93">
        <f t="shared" si="3"/>
        <v>1</v>
      </c>
      <c r="F93">
        <f t="shared" si="4"/>
        <v>1330</v>
      </c>
      <c r="G93">
        <f t="shared" si="5"/>
        <v>6</v>
      </c>
      <c r="H93">
        <v>5057.8922032953451</v>
      </c>
      <c r="I93">
        <f t="shared" si="7"/>
        <v>3.107796704654902</v>
      </c>
    </row>
    <row r="94" spans="2:9" x14ac:dyDescent="0.4">
      <c r="B94" t="str">
        <f t="shared" si="6"/>
        <v>Negozio 24</v>
      </c>
      <c r="C94">
        <f t="shared" si="2"/>
        <v>2037</v>
      </c>
      <c r="D94">
        <v>1</v>
      </c>
      <c r="E94">
        <f t="shared" si="3"/>
        <v>1</v>
      </c>
      <c r="F94">
        <f t="shared" si="4"/>
        <v>504</v>
      </c>
      <c r="G94">
        <f t="shared" si="5"/>
        <v>3</v>
      </c>
      <c r="H94">
        <v>2110.9681887485576</v>
      </c>
      <c r="I94">
        <f t="shared" si="7"/>
        <v>-73.968188748557623</v>
      </c>
    </row>
    <row r="95" spans="2:9" x14ac:dyDescent="0.4">
      <c r="B95" t="str">
        <f t="shared" si="6"/>
        <v>Negozio 25</v>
      </c>
      <c r="C95">
        <f t="shared" si="2"/>
        <v>5766</v>
      </c>
      <c r="D95" s="4">
        <v>1</v>
      </c>
      <c r="E95" s="4">
        <f t="shared" si="3"/>
        <v>1</v>
      </c>
      <c r="F95">
        <f t="shared" si="4"/>
        <v>1548</v>
      </c>
      <c r="G95">
        <f t="shared" si="5"/>
        <v>4</v>
      </c>
      <c r="H95">
        <v>5777.9896591108409</v>
      </c>
      <c r="I95">
        <f t="shared" si="7"/>
        <v>-11.989659110840876</v>
      </c>
    </row>
    <row r="96" spans="2:9" x14ac:dyDescent="0.4">
      <c r="B96" t="str">
        <f t="shared" si="6"/>
        <v>Negozio 26</v>
      </c>
      <c r="C96">
        <f t="shared" si="2"/>
        <v>4808</v>
      </c>
      <c r="D96">
        <v>1</v>
      </c>
      <c r="E96">
        <f t="shared" si="3"/>
        <v>1</v>
      </c>
      <c r="F96">
        <f t="shared" si="4"/>
        <v>1278</v>
      </c>
      <c r="G96">
        <f t="shared" si="5"/>
        <v>4</v>
      </c>
      <c r="H96">
        <v>4834.9636803312151</v>
      </c>
      <c r="I96">
        <f t="shared" si="7"/>
        <v>-26.963680331215073</v>
      </c>
    </row>
    <row r="97" spans="2:9" x14ac:dyDescent="0.4">
      <c r="B97" t="str">
        <f t="shared" si="6"/>
        <v>Negozio 27</v>
      </c>
      <c r="C97">
        <f t="shared" si="2"/>
        <v>4685</v>
      </c>
      <c r="D97">
        <v>1</v>
      </c>
      <c r="E97">
        <f t="shared" si="3"/>
        <v>1</v>
      </c>
      <c r="F97">
        <f t="shared" si="4"/>
        <v>1238</v>
      </c>
      <c r="G97">
        <f t="shared" si="5"/>
        <v>1</v>
      </c>
      <c r="H97">
        <v>4633.2930706762263</v>
      </c>
      <c r="I97">
        <f t="shared" si="7"/>
        <v>51.706929323773693</v>
      </c>
    </row>
    <row r="98" spans="2:9" x14ac:dyDescent="0.4">
      <c r="B98" t="str">
        <f t="shared" si="6"/>
        <v>Negozio 28</v>
      </c>
      <c r="C98">
        <f t="shared" si="2"/>
        <v>2906</v>
      </c>
      <c r="D98">
        <v>1</v>
      </c>
      <c r="E98">
        <f t="shared" si="3"/>
        <v>1</v>
      </c>
      <c r="F98">
        <f t="shared" si="4"/>
        <v>712</v>
      </c>
      <c r="G98">
        <f t="shared" si="5"/>
        <v>4</v>
      </c>
      <c r="H98">
        <v>2858.1018137042965</v>
      </c>
      <c r="I98">
        <f t="shared" si="7"/>
        <v>47.898186295703454</v>
      </c>
    </row>
    <row r="99" spans="2:9" x14ac:dyDescent="0.4">
      <c r="B99" t="str">
        <f t="shared" si="6"/>
        <v>Negozio 29</v>
      </c>
      <c r="C99">
        <f t="shared" si="2"/>
        <v>4459</v>
      </c>
      <c r="D99">
        <v>1</v>
      </c>
      <c r="E99">
        <f t="shared" si="3"/>
        <v>0</v>
      </c>
      <c r="F99">
        <f t="shared" si="4"/>
        <v>1109</v>
      </c>
      <c r="G99">
        <f t="shared" si="5"/>
        <v>8</v>
      </c>
      <c r="H99">
        <v>4449.9761204029073</v>
      </c>
      <c r="I99">
        <f t="shared" si="7"/>
        <v>9.0238795970926731</v>
      </c>
    </row>
    <row r="100" spans="2:9" x14ac:dyDescent="0.4">
      <c r="B100" t="str">
        <f t="shared" si="6"/>
        <v>Negozio 30</v>
      </c>
      <c r="C100">
        <f t="shared" si="2"/>
        <v>5454</v>
      </c>
      <c r="D100">
        <v>1</v>
      </c>
      <c r="E100">
        <f t="shared" si="3"/>
        <v>1</v>
      </c>
      <c r="F100">
        <f t="shared" si="4"/>
        <v>1467</v>
      </c>
      <c r="G100">
        <f t="shared" si="5"/>
        <v>4</v>
      </c>
      <c r="H100">
        <v>5495.0818654769537</v>
      </c>
      <c r="I100">
        <f t="shared" si="7"/>
        <v>-41.081865476953681</v>
      </c>
    </row>
    <row r="101" spans="2:9" x14ac:dyDescent="0.4">
      <c r="C101">
        <f>SUM(C71:C100)</f>
        <v>152319</v>
      </c>
      <c r="H101">
        <f>SUM(H71:H100)</f>
        <v>152319.00000000006</v>
      </c>
      <c r="I101">
        <f>SUM(I71:I100)</f>
        <v>-1.0913936421275139E-11</v>
      </c>
    </row>
    <row r="106" spans="2:9" ht="24.75" customHeight="1" x14ac:dyDescent="0.4">
      <c r="D106" s="4" t="s">
        <v>43</v>
      </c>
      <c r="E106" s="4" t="s">
        <v>3</v>
      </c>
      <c r="F106" s="4" t="s">
        <v>2</v>
      </c>
      <c r="G106" s="4" t="s">
        <v>1</v>
      </c>
      <c r="H106" s="4" t="s">
        <v>54</v>
      </c>
    </row>
    <row r="107" spans="2:9" x14ac:dyDescent="0.4">
      <c r="D107">
        <v>1</v>
      </c>
      <c r="E107">
        <v>0</v>
      </c>
      <c r="F107">
        <v>2000</v>
      </c>
      <c r="G107">
        <v>5</v>
      </c>
      <c r="H107" s="2">
        <f>MMULT(D107:G107,F62:F65)</f>
        <v>7499.9987931324804</v>
      </c>
    </row>
    <row r="112" spans="2:9" ht="17.399999999999999" x14ac:dyDescent="0.55000000000000004">
      <c r="D112" s="3" t="s">
        <v>57</v>
      </c>
    </row>
  </sheetData>
  <phoneticPr fontId="1" type="noConversion"/>
  <pageMargins left="0.27559055118110237" right="0.19685039370078741" top="0.98425196850393704" bottom="1.299212598425197" header="0.51181102362204722" footer="0.51181102362204722"/>
  <pageSetup paperSize="9" orientation="landscape"/>
  <headerFooter alignWithMargins="0"/>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2</vt:i4>
      </vt:variant>
      <vt:variant>
        <vt:lpstr>Grafici</vt:lpstr>
      </vt:variant>
      <vt:variant>
        <vt:i4>1</vt:i4>
      </vt:variant>
    </vt:vector>
  </HeadingPairs>
  <TitlesOfParts>
    <vt:vector size="3" baseType="lpstr">
      <vt:lpstr>testo esame</vt:lpstr>
      <vt:lpstr>data</vt:lpstr>
      <vt:lpstr>Grafico1</vt:lpstr>
    </vt:vector>
  </TitlesOfParts>
  <Company>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dc:creator>
  <cp:lastModifiedBy>Marco RIANI</cp:lastModifiedBy>
  <cp:lastPrinted>2008-01-20T17:53:00Z</cp:lastPrinted>
  <dcterms:created xsi:type="dcterms:W3CDTF">2007-04-03T16:42:25Z</dcterms:created>
  <dcterms:modified xsi:type="dcterms:W3CDTF">2026-01-12T20:11:04Z</dcterms:modified>
</cp:coreProperties>
</file>